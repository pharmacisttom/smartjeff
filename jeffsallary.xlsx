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DD881E48-FC30-417E-8010-09CC0CD3067C}" xr6:coauthVersionLast="47" xr6:coauthVersionMax="47" xr10:uidLastSave="{00000000-0000-0000-0000-000000000000}"/>
  <bookViews>
    <workbookView xWindow="-110" yWindow="-110" windowWidth="22620" windowHeight="13500" xr2:uid="{07D2A94A-5FFC-4D88-AF63-846BD931303E}"/>
  </bookViews>
  <sheets>
    <sheet name="ประวัติพนักงาน J2K" sheetId="1" r:id="rId1"/>
    <sheet name="CODE" sheetId="13" r:id="rId2"/>
    <sheet name="เวลา -เข้าออกงาน" sheetId="2" r:id="rId3"/>
    <sheet name="เงินเดือน " sheetId="8" r:id="rId4"/>
    <sheet name="Attenden" sheetId="7" r:id="rId5"/>
    <sheet name="Slip " sheetId="12" r:id="rId6"/>
    <sheet name="Customer" sheetId="9" r:id="rId7"/>
    <sheet name="เอกสารส่งตัว" sheetId="11" r:id="rId8"/>
  </sheets>
  <externalReferences>
    <externalReference r:id="rId9"/>
    <externalReference r:id="rId10"/>
    <externalReference r:id="rId11"/>
  </externalReferences>
  <definedNames>
    <definedName name="_xlnm._FilterDatabase" localSheetId="1" hidden="1">CODE!$A$2:$J$40</definedName>
    <definedName name="_xlnm._FilterDatabase" localSheetId="3" hidden="1">'เงินเดือน '!$B$3:$D$155</definedName>
    <definedName name="_xlnm._FilterDatabase" localSheetId="0" hidden="1">'ประวัติพนักงาน J2K'!$A$3:$AA$43</definedName>
    <definedName name="Holiday">'[1]1.Holiday'!$B:$C</definedName>
    <definedName name="Language">[2]Language!$K$20:$K$31</definedName>
    <definedName name="page">OFFSET(#REF!,1,0,COUNTA(#REF!)-1,1)</definedName>
    <definedName name="Page_No">OFFSET(#REF!,1,0,MAX(#REF!),1)</definedName>
    <definedName name="_xlnm.Print_Area" localSheetId="5">'Slip '!$A$1:$J$21</definedName>
    <definedName name="_xlnm.Print_Area" localSheetId="7">เอกสารส่งตัว!$A$1:$AP$42</definedName>
    <definedName name="Reponsibilty">[2]Reponsibility!$B$12:$B$17</definedName>
    <definedName name="Skill">[2]Technical_Skill!$C$12:$C$18</definedName>
    <definedName name="แผ่นที่">#REF!</definedName>
    <definedName name="ลำดับ">#REF!</definedName>
    <definedName name="등급">[3]Sheet1!$B$4:$B$7</definedName>
    <definedName name="목록">#REF!</definedName>
    <definedName name="목록1">#REF!</definedName>
    <definedName name="목록2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2" l="1"/>
  <c r="F10" i="12"/>
  <c r="F19" i="12" s="1"/>
  <c r="J8" i="12"/>
  <c r="J19" i="12" s="1"/>
  <c r="J20" i="12" l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D1" i="1"/>
</calcChain>
</file>

<file path=xl/sharedStrings.xml><?xml version="1.0" encoding="utf-8"?>
<sst xmlns="http://schemas.openxmlformats.org/spreadsheetml/2006/main" count="1017" uniqueCount="384">
  <si>
    <t xml:space="preserve">รายชื่อพนักงาน J2K </t>
  </si>
  <si>
    <t>ลำดับ</t>
  </si>
  <si>
    <t>รหัส</t>
  </si>
  <si>
    <t>ชื่อ  -  นามสกุล</t>
  </si>
  <si>
    <t>ตำแหน่ง</t>
  </si>
  <si>
    <t>วันที่เริ่มงาน</t>
  </si>
  <si>
    <t>ปี</t>
  </si>
  <si>
    <t>วัน</t>
  </si>
  <si>
    <t>วันเกิด</t>
  </si>
  <si>
    <t>อายุ</t>
  </si>
  <si>
    <t>เพศ</t>
  </si>
  <si>
    <t>สัญชาติ</t>
  </si>
  <si>
    <t>เลขบัตรประชาชน</t>
  </si>
  <si>
    <t>เบอร์โทรศัพท์</t>
  </si>
  <si>
    <t>เลขบัญชีธนาคาร</t>
  </si>
  <si>
    <t>ธนาคาร</t>
  </si>
  <si>
    <t>สิทธิการรักษา/รพ.</t>
  </si>
  <si>
    <t>การศึกษา</t>
  </si>
  <si>
    <t>ภูมิลำเนา</t>
  </si>
  <si>
    <t>นายกิมเอิน อีท</t>
  </si>
  <si>
    <t>พ่อบ้าน</t>
  </si>
  <si>
    <t>AAM</t>
  </si>
  <si>
    <t>ชาย</t>
  </si>
  <si>
    <t>กัมพูชา</t>
  </si>
  <si>
    <t>06-1983-3706</t>
  </si>
  <si>
    <t>ชำระเงินเอง</t>
  </si>
  <si>
    <t>นางพัดมา  เชื้อวังคำ</t>
  </si>
  <si>
    <t>แม่บ้าน</t>
  </si>
  <si>
    <t>หญิง</t>
  </si>
  <si>
    <t>ไทย</t>
  </si>
  <si>
    <t>ไทยพานิชย์</t>
  </si>
  <si>
    <t>ปกส.</t>
  </si>
  <si>
    <t>รพ.ระยอง</t>
  </si>
  <si>
    <t>นางสร้อยทอง  ทองสุข</t>
  </si>
  <si>
    <t>092-930-8293</t>
  </si>
  <si>
    <t>รพ.ชลบุรี</t>
  </si>
  <si>
    <t>น.ส.สมใจ แว่นทิพย์</t>
  </si>
  <si>
    <t>รพ.สมเด็จพระบรมราชเทวี ณ ศรีราชา</t>
  </si>
  <si>
    <t>ม.ปลาย</t>
  </si>
  <si>
    <t>นางแววดาว  มุกโส</t>
  </si>
  <si>
    <t>นางพัน อุล</t>
  </si>
  <si>
    <t>082-448-9188</t>
  </si>
  <si>
    <t>นางสาวสริญญา  ชะนิดนอก</t>
  </si>
  <si>
    <t>หัวหน้าแม่บ้าน</t>
  </si>
  <si>
    <t>รพ.กรุงเทพ-ปลวกแดง</t>
  </si>
  <si>
    <t>นางลลิต อบสุนทร</t>
  </si>
  <si>
    <t>ABPR1,2</t>
  </si>
  <si>
    <t>นางสุนิตย์  พิมพ์เขียว</t>
  </si>
  <si>
    <t>086-165-9122</t>
  </si>
  <si>
    <t>รพ.ปิยะเวชช์ ระยอง</t>
  </si>
  <si>
    <t>นายสนัด  พลหาร</t>
  </si>
  <si>
    <t>สายกวาด</t>
  </si>
  <si>
    <t>นายอุ่น  แอ่นคำ</t>
  </si>
  <si>
    <t>นายสุรชัย จันทร์หอม</t>
  </si>
  <si>
    <t>รพ.พญาไท ศรีราชา</t>
  </si>
  <si>
    <t>นางสาวสร้อยทิพย์  มณีศรี</t>
  </si>
  <si>
    <t>น.ส.รัตติยา  ชมบัณฑิตย์</t>
  </si>
  <si>
    <t>ABPR3,4</t>
  </si>
  <si>
    <t>นางวราภรณ์ บุญทา</t>
  </si>
  <si>
    <t>33/2 ม.8 ต.ไผ่เขียว อ.สว่างอารมณ์ จ.อุทัยธานี</t>
  </si>
  <si>
    <t>น.ส.จิดาภา บุตรคำ</t>
  </si>
  <si>
    <t xml:space="preserve">นายประดิษฐ์  บุญสิทธ์ </t>
  </si>
  <si>
    <t>บัตร 30 บาท</t>
  </si>
  <si>
    <t>นายกฤตชัย  แซ่ตั้ง</t>
  </si>
  <si>
    <t>นายวุฒินันท์ ชมภู</t>
  </si>
  <si>
    <t>คนสวน</t>
  </si>
  <si>
    <t>ABPR5</t>
  </si>
  <si>
    <t>นางอุลา  แก้วพรม</t>
  </si>
  <si>
    <t>น.ส.หนูเอ็ม  โหมสูงเนิน</t>
  </si>
  <si>
    <t>099-4730955</t>
  </si>
  <si>
    <t>นายนูศิลป์  สมองาม</t>
  </si>
  <si>
    <t>น.ส.อรอุมา  สิงห์ทองลา</t>
  </si>
  <si>
    <t>นายณัฐวุฒิ หนูนาค</t>
  </si>
  <si>
    <t>BAT</t>
  </si>
  <si>
    <t>นางพร ทอน</t>
  </si>
  <si>
    <t>น.ส.สมหมาย  อำมาตมนตรี</t>
  </si>
  <si>
    <t>นายภูษิต  ไพคำนาม</t>
  </si>
  <si>
    <t>BW</t>
  </si>
  <si>
    <t>137 ม.5 ต.สุวรรณคาม อ.นิคมน้ำอูน จ.สกลนคร</t>
  </si>
  <si>
    <t>น.ส.แสงเดือน พันธ์ฉลามขวา</t>
  </si>
  <si>
    <t>ม.ต้น</t>
  </si>
  <si>
    <t>17 ม.2 ต.แก้งสนามนาง อ.แก้งสนามนาง จ.นครราชสีมา</t>
  </si>
  <si>
    <t>นางสาวจงจิต  บาลพิทักษ์</t>
  </si>
  <si>
    <t>52 ม.8 ต.คอนสวรรค์ อ.คอนสวรรค์ จ.ชัยภูมิ</t>
  </si>
  <si>
    <t>น.ส.พิมวาสน์ ทวิไวนุวัฒน์</t>
  </si>
  <si>
    <t>20 ม.12 ต.กล้วยกว้าง อ.ห้วยทับทัน จ.ศรีสะเกษ</t>
  </si>
  <si>
    <t>นางจิราภา  ชินบุตร</t>
  </si>
  <si>
    <t>หัวหน้างาน</t>
  </si>
  <si>
    <t>รพ.พญาไท บ่อวิน</t>
  </si>
  <si>
    <t>16 ม.7 ต.ครบุรีใต้ อ.ครบุรี จ.นครราชสีมา</t>
  </si>
  <si>
    <t>นายปรีเปรม  ศรีพายัคฆ์</t>
  </si>
  <si>
    <t>CATALER</t>
  </si>
  <si>
    <t>นางสมจิตร  โพศิริ</t>
  </si>
  <si>
    <t>น.ส.ปาริชาติ ชุนไธสง</t>
  </si>
  <si>
    <t>นางน้ำอ้อย โพธิ์เงิน</t>
  </si>
  <si>
    <t>นางนิติยา บุญเททิน</t>
  </si>
  <si>
    <t>นายธิวัฒน์  ราวัน</t>
  </si>
  <si>
    <t>DOWA</t>
  </si>
  <si>
    <t>นางเกศราพร ศิลปยามานันท์</t>
  </si>
  <si>
    <t>นางกัญญ์ณณัฏฐ์ พูลเมือง</t>
  </si>
  <si>
    <t>น.ส.อำพร  เชิงกระโทก</t>
  </si>
  <si>
    <t>FTS1</t>
  </si>
  <si>
    <t>น.ส.ปิยะดา  ปาสาจะ</t>
  </si>
  <si>
    <t>นางขำจิตร โลสิงห์</t>
  </si>
  <si>
    <t>น.ส.กนกวรรณ  พูนกลาง</t>
  </si>
  <si>
    <t>FTS2</t>
  </si>
  <si>
    <t>นางมาลี  ไชยไข</t>
  </si>
  <si>
    <t>น.ส.เกษร เข้าเมือง</t>
  </si>
  <si>
    <t>น.ส.ธัญพร มั่นยืน</t>
  </si>
  <si>
    <t>J2K-officer</t>
  </si>
  <si>
    <t>นางสาวปวริศา  ฟองสมุทร</t>
  </si>
  <si>
    <t>นางอัศนา  ธรรมถาวร</t>
  </si>
  <si>
    <t>น.ส.ยุพดี วะโร</t>
  </si>
  <si>
    <t>นางเนตรนภา  อินทร์ผลเล็ก</t>
  </si>
  <si>
    <t>นางสาวอรอุมา  วิเวช</t>
  </si>
  <si>
    <t>นางโศรยา  ประสงค์ทรัพย์</t>
  </si>
  <si>
    <t>นายสุนทร พานทอง</t>
  </si>
  <si>
    <t>คนขับรถ</t>
  </si>
  <si>
    <t>นายโช อ่อง</t>
  </si>
  <si>
    <t>JATH</t>
  </si>
  <si>
    <t>นายเวียสนา บาว</t>
  </si>
  <si>
    <t>นายจันที สวน</t>
  </si>
  <si>
    <t>นายทอ มิน ฮาน (ชาย)</t>
  </si>
  <si>
    <t>นายทิน มิน อ่อง (อ่อง)</t>
  </si>
  <si>
    <t>นายวัลฮาน่า วอน</t>
  </si>
  <si>
    <t>นายแจ้ ซิน ต้าน</t>
  </si>
  <si>
    <t xml:space="preserve">นาย ซัน กู กู </t>
  </si>
  <si>
    <t>นายซาเลต  กึ</t>
  </si>
  <si>
    <t>นายจอ มอ มอ</t>
  </si>
  <si>
    <t>นายนาย มิน</t>
  </si>
  <si>
    <t>นายซอมนาง เซือน</t>
  </si>
  <si>
    <t>นายสมพร เซียม</t>
  </si>
  <si>
    <t>นายเมา สอ (เมา)</t>
  </si>
  <si>
    <t>นายมิน จัน ยก (ชา)</t>
  </si>
  <si>
    <t>นางสุบิน  ศรีนอก</t>
  </si>
  <si>
    <t>น.ส.สาลิกา  สว่างอารมณ์</t>
  </si>
  <si>
    <t>นางทองมา  หงษ์ทอง</t>
  </si>
  <si>
    <t>นางแตน  เซือง</t>
  </si>
  <si>
    <t>นางเม โช อ่อง (เมโช)</t>
  </si>
  <si>
    <t>เมียนมา</t>
  </si>
  <si>
    <t>นางเยท ฮาน</t>
  </si>
  <si>
    <t>นางบัวหอม อนันทวรรณ์</t>
  </si>
  <si>
    <t>นางสาวโรท ธีม</t>
  </si>
  <si>
    <t>นางซีเอ๊ะ เมา</t>
  </si>
  <si>
    <t>นางชิตน  กง</t>
  </si>
  <si>
    <t>นางม่วย  ชมวงษ์ษา</t>
  </si>
  <si>
    <t>นางวันนี ดวง</t>
  </si>
  <si>
    <t>นางดาเลีย ดองลียอ</t>
  </si>
  <si>
    <t>นางสาวอัญชลี  วงค์ใหญ่</t>
  </si>
  <si>
    <t>น.ส.เสาวรักษ์ จั่นอยู่</t>
  </si>
  <si>
    <t>LCIT B5</t>
  </si>
  <si>
    <t>นางบุญนาง ทองประภา</t>
  </si>
  <si>
    <t>น.ส.ศิริพร พันธ์ลำภู</t>
  </si>
  <si>
    <t>น.ส.นงค์เยาว์ ผสมโค</t>
  </si>
  <si>
    <t>นางมณฑิกา ประกาฬโพธิ์</t>
  </si>
  <si>
    <t>น.ส.นิภาพร บุญประกอบ</t>
  </si>
  <si>
    <t>นายสุระเดช วารีรัตน์</t>
  </si>
  <si>
    <t>LCIT C3</t>
  </si>
  <si>
    <t>นางพันธ์ลา  บุญทอง</t>
  </si>
  <si>
    <t>น.ส.ดอกรัก อินทร์จันทร์</t>
  </si>
  <si>
    <t>น.ส.นงค์นุช ว่องไว</t>
  </si>
  <si>
    <t>น.ส.สุภาวดี พรมเวียง</t>
  </si>
  <si>
    <t>น.ส.ณัฎฐ์นรี  ทองปาน</t>
  </si>
  <si>
    <t>นางมานพ ฤทธิ์บำรุง</t>
  </si>
  <si>
    <t>นางปรียาภรณ์ ผลทวี</t>
  </si>
  <si>
    <t>นางเดือน กะทิพรมราช</t>
  </si>
  <si>
    <t>Misumi</t>
  </si>
  <si>
    <t>นางสำเนียง โกศล</t>
  </si>
  <si>
    <t>นางสายสร้อย ใจบุญ</t>
  </si>
  <si>
    <t>นายราชัน ไชยวัน</t>
  </si>
  <si>
    <t>MTAT</t>
  </si>
  <si>
    <t>นายวัชรินทร์ ชัยวงษา</t>
  </si>
  <si>
    <t>นางบัวพา ดวงมาลา</t>
  </si>
  <si>
    <t>ลาว</t>
  </si>
  <si>
    <t>น.ส.สกุณา รอบคอบ</t>
  </si>
  <si>
    <t>ปรียาพรรณ  ฟูวุฒิ</t>
  </si>
  <si>
    <t>นายบุญสืบ ธรรมนุสสรณ์</t>
  </si>
  <si>
    <t>SFT</t>
  </si>
  <si>
    <t>น.ส.เว จูลี่ วิน (หนู)</t>
  </si>
  <si>
    <t>น.ส.พิมษร  มลศิลป์</t>
  </si>
  <si>
    <t>นางแวง วงสิยา</t>
  </si>
  <si>
    <t>Spare J2k</t>
  </si>
  <si>
    <t>นางสมบัติ สุพรรณ์</t>
  </si>
  <si>
    <t>นางอาย  ชอร์น</t>
  </si>
  <si>
    <t>นายสังวาลย์ อุดโค</t>
  </si>
  <si>
    <t>นายตึด  อาด</t>
  </si>
  <si>
    <t>SSMC1</t>
  </si>
  <si>
    <t>นางอี อัง</t>
  </si>
  <si>
    <t>นางสาวทศพร  ทองประภา</t>
  </si>
  <si>
    <t>น.ส.ดวงใจ แซ่ลิ้ม</t>
  </si>
  <si>
    <t>นายประสิทธ์  บุดดาเคน</t>
  </si>
  <si>
    <t>SSMC2</t>
  </si>
  <si>
    <t>นายอุทัย บำเพ็ญ</t>
  </si>
  <si>
    <t>TIPS</t>
  </si>
  <si>
    <t>นายวสันต์ เรืองเดชผล</t>
  </si>
  <si>
    <t>น.ส.รจนา อุ่นคำ</t>
  </si>
  <si>
    <t>น.ส.สำเนียง เฟื่องฟู</t>
  </si>
  <si>
    <t>น.ส.สุณิสา แก้วบุญเรือง</t>
  </si>
  <si>
    <t>น.ส.ภัทลดา ผงสูงเนิน</t>
  </si>
  <si>
    <t>น.ส.พัชดาพร เกษประทุม</t>
  </si>
  <si>
    <t>น.ส.สุพรรณมณี ยอดหอ</t>
  </si>
  <si>
    <t>นางสาวสุพรรณิภา  สุพรรณ์</t>
  </si>
  <si>
    <t>NSA</t>
  </si>
  <si>
    <t>นางสังเวียน  ศรีหงษ์</t>
  </si>
  <si>
    <t>น.ส.เสาวนีย์  เจริญสุข</t>
  </si>
  <si>
    <t>Misubishi</t>
  </si>
  <si>
    <t>นางไพรวรรณ  นุ่มพุฒ</t>
  </si>
  <si>
    <t>น.ส.พัสดา  ชมภูมี</t>
  </si>
  <si>
    <t>TFI</t>
  </si>
  <si>
    <t>นางไพร วิจิตพงศ์</t>
  </si>
  <si>
    <t>TNT</t>
  </si>
  <si>
    <t>นางบุญเย็น ไชยวัน</t>
  </si>
  <si>
    <t>นายสียม  เชื้อคำจันทร์</t>
  </si>
  <si>
    <t>BRUCKNER</t>
  </si>
  <si>
    <t>นางบังอร  พสุรัตน์</t>
  </si>
  <si>
    <t>CHIKUMA</t>
  </si>
  <si>
    <t>นางเล็ก  ทาทอง</t>
  </si>
  <si>
    <t>KYT</t>
  </si>
  <si>
    <t>น.ส.วรรณพร  รื่นเริง</t>
  </si>
  <si>
    <t>LCTH</t>
  </si>
  <si>
    <t>น.ส.อุษา  แดไชย</t>
  </si>
  <si>
    <t>LSTH</t>
  </si>
  <si>
    <t>น.ส.วัลยา จาตุรงค์</t>
  </si>
  <si>
    <t>NIKKO</t>
  </si>
  <si>
    <t>นางดวง เพชรบุตร</t>
  </si>
  <si>
    <t>NS-OG(SPT)</t>
  </si>
  <si>
    <t>น.ส.สนอง สิงหา</t>
  </si>
  <si>
    <t>NS-OG(YRT)</t>
  </si>
  <si>
    <t>น.ส.ปาริสรา บุญจันทร์</t>
  </si>
  <si>
    <t>Shred Tech</t>
  </si>
  <si>
    <t>นางสุภาพร เพียนดี</t>
  </si>
  <si>
    <t>STDI</t>
  </si>
  <si>
    <t>นางสมปอง  งามสม</t>
  </si>
  <si>
    <t>SYC</t>
  </si>
  <si>
    <t xml:space="preserve"> </t>
  </si>
  <si>
    <t>ชื่อ</t>
  </si>
  <si>
    <t>นามสกุล</t>
  </si>
  <si>
    <t>พนักงานบริษัท</t>
  </si>
  <si>
    <t>โทรศัพท์</t>
  </si>
  <si>
    <t>วัน/เดือน/ปี เกิด</t>
  </si>
  <si>
    <t>เชื้อชาติ</t>
  </si>
  <si>
    <t>วุฒิการศึกษาชั้นสูงสุด</t>
  </si>
  <si>
    <t>ที่อยู่ปัจจุบัน</t>
  </si>
  <si>
    <t>q</t>
  </si>
  <si>
    <t>บัตรประจำตัวประชาชนหรือหนังสือเดินทางเลขที่</t>
  </si>
  <si>
    <t>ออกโดย</t>
  </si>
  <si>
    <t>ที่อยู่ตามสำเนาทะเบียน</t>
  </si>
  <si>
    <t>สถานภาพ</t>
  </si>
  <si>
    <t>โสด</t>
  </si>
  <si>
    <t>สมรส</t>
  </si>
  <si>
    <t>อื่นๆ</t>
  </si>
  <si>
    <t>ผู้ที่มาติดต่อได้กรณีฉุกเฉิน       ชื่อ</t>
  </si>
  <si>
    <t>ที่อยู่</t>
  </si>
  <si>
    <t>ลงชื่อ</t>
  </si>
  <si>
    <t>และข้าพเจ้าขอรับรองว่าข้อความที่ข้าพเจ้าเขียนข้างต้นเป็นจริงทุกประการ</t>
  </si>
  <si>
    <t>(                                                            )</t>
  </si>
  <si>
    <t>สำเนาบัตรประชาชน  หรือ</t>
  </si>
  <si>
    <t>ใบอนุญาตทำงานสำหรับบุคคลต่างด้าว</t>
  </si>
  <si>
    <t>บริษัท เจทูเค เฮ้าส์คีพปิ้ง เซอร์วิส จำกัด</t>
  </si>
  <si>
    <t xml:space="preserve">รหัสพนักงาน </t>
  </si>
  <si>
    <t>0116</t>
  </si>
  <si>
    <t xml:space="preserve">ชื่อ-นามสกุล  </t>
  </si>
  <si>
    <t>นาง จิราภา  ชินบุตร</t>
  </si>
  <si>
    <t>รายการรับ (Income)</t>
  </si>
  <si>
    <t>รายการหัก (Deduction)</t>
  </si>
  <si>
    <t>หักค่าภาษี ณ ที่จ่าย/Tax</t>
  </si>
  <si>
    <t>x</t>
  </si>
  <si>
    <t>ประกันสังคม/Social Security</t>
  </si>
  <si>
    <t>หักอื่นๆ</t>
  </si>
  <si>
    <t>ค่าล่วงเวลา/โอที (1)</t>
  </si>
  <si>
    <t>ชม.</t>
  </si>
  <si>
    <t>ค่าล่วงเวลา/โอที (1.5)</t>
  </si>
  <si>
    <t>ค่าล่วงเวลา/โอที (2)</t>
  </si>
  <si>
    <t>ค่าล่วงเวลา/โอที (3)</t>
  </si>
  <si>
    <t>เบี้ยขยัน</t>
  </si>
  <si>
    <t>ค่าร้อน</t>
  </si>
  <si>
    <t>ค่าอาหาร</t>
  </si>
  <si>
    <t>ค่ากะ</t>
  </si>
  <si>
    <t>รับอื่นๆ</t>
  </si>
  <si>
    <t>รวมรับ (gross Earning)</t>
  </si>
  <si>
    <t>รวมหัก (Total Deduction)</t>
  </si>
  <si>
    <t>เงินรับสุทธิ (Net Pay)</t>
  </si>
  <si>
    <t xml:space="preserve">ประจำงวด  </t>
  </si>
  <si>
    <t>30 กันยายน 2026</t>
  </si>
  <si>
    <t>หมายเลขบัตรผู้เสียภาษี</t>
  </si>
  <si>
    <t xml:space="preserve"> 1-4603-00011-72-0</t>
  </si>
  <si>
    <t xml:space="preserve">ตำแหน่ง (Position)  </t>
  </si>
  <si>
    <t>หัวหน้าพนักงานทำความสะอาด</t>
  </si>
  <si>
    <t xml:space="preserve">วันที่เริ่มงาน </t>
  </si>
  <si>
    <t>ข้าพเจ้ายินยอมให้ตรวจสอบประวัติอาชญากรรม  โดยการพิมพ์ลายนิ้วมือ  เมื่อ J2K ต้องการตรวจสอบ</t>
  </si>
  <si>
    <t>ลายมือชื่อหัวหน้างาน</t>
  </si>
  <si>
    <t>ลายมือชื่อพนักงาน</t>
  </si>
  <si>
    <t>เอกสารประกอบ</t>
  </si>
  <si>
    <t>รูปถ่าย ขนาด 1 นิ้ว จำนวน 1 รูป</t>
  </si>
  <si>
    <t>บริษัท อเมริกัน แอ็คเซิล แอนด์ แมนูแฟคเจอริ่ง (ประเทศไทย) จำกัด</t>
  </si>
  <si>
    <t>บริษัท บอร์กวอร์เนอร์ พีดีเอส (ประเทศไทย) จำกัด</t>
  </si>
  <si>
    <t>บริษัท โบโชคุ ออโตโมทีฟ (ประเทศไทย) จำกัด</t>
  </si>
  <si>
    <t>บริษัท แคททาเลอร์ (ประเทศไทย) จำกัด</t>
  </si>
  <si>
    <t>บริษัท โดวะ เทอร์โมเทค (ประเทศไทย) จำกัด</t>
  </si>
  <si>
    <t>บริษัท เอฟทีเอส ออโตโมทีฟ (ไทยแลนด์) จำกัด (สำนักงานใหญ่)</t>
  </si>
  <si>
    <t>บริษัท เจเทคโตะ ออโตโมทีฟ (ไทยแลนด์) จำกัด</t>
  </si>
  <si>
    <t>บริษัท เอฟทีเอส ออโตโมทีฟ (ไทยแลนด์) จำกัด(สาขา 00001)</t>
  </si>
  <si>
    <t>บริษัท แหลมฉบัง อินเตอร์เนชั่นแนล เทอร์มินอล จำกัด(สำนักงานใหญ่)</t>
  </si>
  <si>
    <t>บริษัท แหลมฉบัง อินเตอร์เนชั่นแนล เทอร์มินอล จำกัด(สาขา 00001)</t>
  </si>
  <si>
    <t>CODE</t>
  </si>
  <si>
    <t>ตัวย่อโรงงาน</t>
  </si>
  <si>
    <t>ชื่อเต็มโรงงาน</t>
  </si>
  <si>
    <t>เวลาเข้าทำงาน</t>
  </si>
  <si>
    <t>เวลาออกทำงาน</t>
  </si>
  <si>
    <t>เวลาเข้าโอที</t>
  </si>
  <si>
    <t>เวลาออกโอที</t>
  </si>
  <si>
    <t>แม่บ้านกะเช้า</t>
  </si>
  <si>
    <t>แม่บ้านกะดึก</t>
  </si>
  <si>
    <t>แม่บ้านออฟฟิศ(1)</t>
  </si>
  <si>
    <t>กะเช้า</t>
  </si>
  <si>
    <t>กะดึก</t>
  </si>
  <si>
    <t>คนสวน/สายกวาด</t>
  </si>
  <si>
    <t>นิคมอุตสาหกรรมเหมราช</t>
  </si>
  <si>
    <t>นิคมอุตสาหกรรมอีสเทิร์นซีบอร์ด (ระยอง)</t>
  </si>
  <si>
    <t>นิคมอุตสาหกรรมอมตะซิตี้ ระยอง</t>
  </si>
  <si>
    <t>บริษัท ที ไอ พี เอส จำกัด (สาขา00001)</t>
  </si>
  <si>
    <t>นิคมอุตสากรรมปิ่นทอง 4</t>
  </si>
  <si>
    <t>นิคมอุตสากรรมปิ่นทอง 5</t>
  </si>
  <si>
    <t>บริษัท เชร็ด-เทค เอเซีย จำกัด</t>
  </si>
  <si>
    <t>นิคมอุตสาหกรรมดับบลิวเอชเอ ชลบุรี 1</t>
  </si>
  <si>
    <t>บริษัท บรุคเนอร์ กรุ๊ป เอเชีย-แปซิฟิก จำกัด</t>
  </si>
  <si>
    <t>นิคมอุตสาหกรรมดับบลิวเอชเอ อีสเทิร์นซีบอร์ด 1</t>
  </si>
  <si>
    <t>บริษัท ทานาเท็กซ์ เคมีเคิลส์ (ไทยแลนด์) จำกัด</t>
  </si>
  <si>
    <t>บริษัท จิคุมะ (ประเทศไทย) จำกัด</t>
  </si>
  <si>
    <t>แหลมฉบัง</t>
  </si>
  <si>
    <t>ที่ตั้ง</t>
  </si>
  <si>
    <t>รายเดือน</t>
  </si>
  <si>
    <t>รายวัน</t>
  </si>
  <si>
    <t>ค่าเดินทาง</t>
  </si>
  <si>
    <t>ค่าล้างจาน</t>
  </si>
  <si>
    <t>ค่าทักษะ</t>
  </si>
  <si>
    <t>ค่าSkill</t>
  </si>
  <si>
    <t>Incentive</t>
  </si>
  <si>
    <t>ค่าโทร</t>
  </si>
  <si>
    <t>ค่าตำแหน่ง</t>
  </si>
  <si>
    <t>ค่าเช่าบ้าน</t>
  </si>
  <si>
    <t>ค่าประสานงาน</t>
  </si>
  <si>
    <t>รหัสพนักงาน</t>
  </si>
  <si>
    <t>เอกสารส่งตัวพนักงาน</t>
  </si>
  <si>
    <t>วันที่</t>
  </si>
  <si>
    <t>ถนน 331</t>
  </si>
  <si>
    <t>WH วังตาผิน</t>
  </si>
  <si>
    <t>บจก.เลสชาโก้  (ประเทศไทย)</t>
  </si>
  <si>
    <t>MISUMI  (THAILAND) CO., LTD.</t>
  </si>
  <si>
    <t>บจก.นิกโก้ เอเชีย เอ็นจิเนียริ่ง (ประเทศไทย)</t>
  </si>
  <si>
    <t>บจก.เคยัง พาวเวอร์ ทูลล์</t>
  </si>
  <si>
    <t>บจก.โตโย ฟิลลิ่ง อินเตอร์เนชั่นแนล</t>
  </si>
  <si>
    <t>Amata Bgrimm Power (Rayong)  2 Limited</t>
  </si>
  <si>
    <t>Amata Bgrimm Power (Rayong)  3 Limited</t>
  </si>
  <si>
    <t>Amata Bgrimm Power (Rayong) 5 Limited</t>
  </si>
  <si>
    <t>บจก.เอ็นเอส-โอจี เอนเนอร์จี โซลูชั่น (ไทยแลนด์)</t>
  </si>
  <si>
    <t>บจก.สยามไทโก ดรัม อินดัสตรี้ส์</t>
  </si>
  <si>
    <t>บจก.เอ็มแอนด์ที อัลไลด์ เทคโนโลยี่ส์</t>
  </si>
  <si>
    <t>บจก.สมบูรณณ์ ฟอร์จจิ้ง เทคโนโลยี</t>
  </si>
  <si>
    <t>บจก.สมบูรณ์ โซมิค แมนูแฟคเจอริ่ง</t>
  </si>
  <si>
    <t>บจก.นิชินโบะ สมบูรณ์ ออโตโมทีฟ</t>
  </si>
  <si>
    <t>บจก.มิตซูบิชิ เคมีคอล แอดวานซ์ (ประเทศไทย)</t>
  </si>
  <si>
    <t>บจก.สยาม ยามาโมริ</t>
  </si>
  <si>
    <t>บริษัท เจ2เค เฮ้าส์คีพปิ้ง เซอร์วิสจำกัด</t>
  </si>
  <si>
    <t>NS-OG (YRT)</t>
  </si>
  <si>
    <t>นางสุเพี้ยะ เซือง</t>
  </si>
  <si>
    <t>นายกำไล  เหนือเกาะหวาย</t>
  </si>
  <si>
    <t>นางจารุวรรณ  แก้วมูล</t>
  </si>
  <si>
    <t>นายอาคม ทับจังหรีด</t>
  </si>
  <si>
    <t>นายบุญเรือง เอง</t>
  </si>
  <si>
    <t>น.ส.ปัญญา จันทรังษี</t>
  </si>
  <si>
    <t>น.ส.นุช  เงินสมบัติ</t>
  </si>
  <si>
    <t>นางณัฐวิภา โพธิ์สุข</t>
  </si>
  <si>
    <t>ค่าแรงรายวัน/Daily</t>
  </si>
  <si>
    <t>ค่าแรงรายเดือน/Salary</t>
  </si>
  <si>
    <t>ค่าน้ำมัน</t>
  </si>
  <si>
    <t>235 หมู่ที่ 4 ตำบลปลวกแดง อำเภอปลวกแดง จังหวัดระยอง 21140 โทรศัพท์  096-216-2189</t>
  </si>
  <si>
    <t>ชื่อลูกค้า</t>
  </si>
  <si>
    <t>Email</t>
  </si>
  <si>
    <t>โทร.</t>
  </si>
  <si>
    <t>รายการรับ</t>
  </si>
  <si>
    <t>รายการหัก</t>
  </si>
  <si>
    <t>หักภาษี</t>
  </si>
  <si>
    <t>หัก ปกส.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</si>
</sst>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1000000]0\ 0000\ 00000\ 00\ 0"/>
    <numFmt numFmtId="166" formatCode="[&lt;=99999999][$-1000000]0\-####\-####;[$-1000000]#\-####\-####"/>
    <numFmt numFmtId="167" formatCode="[$-1010000]d/m/yyyy;@"/>
    <numFmt numFmtId="168" formatCode="000\-\ 000\-\ 0000"/>
    <numFmt numFmtId="169" formatCode="00"/>
    <numFmt numFmtId="170" formatCode="000000"/>
    <numFmt numFmtId="171" formatCode="0000"/>
  </numFmts>
  <fonts count="13">
    <font>
      <sz val="11"/>
      <color theme="1"/>
      <name val="Calibri"/>
      <family val="2"/>
      <charset val="222"/>
      <scheme val="minor"/>
    </font>
    <font>
      <sz val="16"/>
      <name val="AngsanaUPC"/>
      <family val="1"/>
    </font>
    <font>
      <sz val="16"/>
      <color theme="1"/>
      <name val="AngsanaUPC"/>
      <family val="1"/>
    </font>
    <font>
      <i/>
      <sz val="16"/>
      <color theme="1"/>
      <name val="AngsanaUPC"/>
      <family val="1"/>
    </font>
    <font>
      <i/>
      <sz val="16"/>
      <name val="AngsanaUPC"/>
      <family val="1"/>
    </font>
    <font>
      <sz val="11"/>
      <color theme="1"/>
      <name val="Calibri"/>
      <family val="2"/>
      <scheme val="minor"/>
    </font>
    <font>
      <sz val="14"/>
      <name val="Cordia New"/>
      <family val="2"/>
      <charset val="222"/>
    </font>
    <font>
      <sz val="11"/>
      <color theme="1"/>
      <name val="Calibri"/>
      <family val="2"/>
      <charset val="222"/>
      <scheme val="minor"/>
    </font>
    <font>
      <sz val="14"/>
      <color theme="1"/>
      <name val="AngsanaUPC"/>
      <family val="1"/>
    </font>
    <font>
      <sz val="14"/>
      <color theme="1"/>
      <name val="Wingdings"/>
      <charset val="2"/>
    </font>
    <font>
      <sz val="8"/>
      <name val="Calibri"/>
      <family val="2"/>
      <charset val="222"/>
      <scheme val="minor"/>
    </font>
    <font>
      <u/>
      <sz val="20"/>
      <color theme="1"/>
      <name val="AngsanaUPC"/>
      <family val="1"/>
    </font>
    <font>
      <b/>
      <sz val="14"/>
      <color theme="1"/>
      <name val="AngsanaUPC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164" fontId="7" fillId="0" borderId="0" applyFont="0" applyFill="0" applyBorder="0" applyAlignment="0" applyProtection="0"/>
  </cellStyleXfs>
  <cellXfs count="15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14" fontId="1" fillId="3" borderId="0" xfId="0" applyNumberFormat="1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horizontal="center" vertical="center" wrapText="1"/>
    </xf>
    <xf numFmtId="166" fontId="1" fillId="3" borderId="2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4" fontId="1" fillId="0" borderId="3" xfId="1" applyNumberFormat="1" applyFont="1" applyBorder="1" applyAlignment="1">
      <alignment horizontal="left" vertical="center" wrapText="1"/>
    </xf>
    <xf numFmtId="4" fontId="1" fillId="0" borderId="5" xfId="1" applyNumberFormat="1" applyFont="1" applyBorder="1" applyAlignment="1">
      <alignment horizontal="left" vertical="center" wrapText="1"/>
    </xf>
    <xf numFmtId="4" fontId="1" fillId="0" borderId="5" xfId="1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7" fontId="1" fillId="0" borderId="2" xfId="2" applyNumberFormat="1" applyFont="1" applyBorder="1" applyAlignment="1">
      <alignment horizontal="center" vertical="center" wrapText="1" shrinkToFit="1"/>
    </xf>
    <xf numFmtId="14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168" fontId="1" fillId="2" borderId="5" xfId="0" applyNumberFormat="1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4" fontId="1" fillId="2" borderId="3" xfId="1" applyNumberFormat="1" applyFont="1" applyFill="1" applyBorder="1" applyAlignment="1">
      <alignment horizontal="left" vertical="center" wrapText="1"/>
    </xf>
    <xf numFmtId="4" fontId="1" fillId="2" borderId="5" xfId="1" applyNumberFormat="1" applyFont="1" applyFill="1" applyBorder="1" applyAlignment="1">
      <alignment horizontal="left" vertical="center" wrapText="1"/>
    </xf>
    <xf numFmtId="4" fontId="1" fillId="2" borderId="5" xfId="1" applyNumberFormat="1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168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4" fontId="1" fillId="2" borderId="2" xfId="1" applyNumberFormat="1" applyFont="1" applyFill="1" applyBorder="1" applyAlignment="1">
      <alignment horizontal="left" vertical="center" wrapText="1"/>
    </xf>
    <xf numFmtId="4" fontId="1" fillId="2" borderId="2" xfId="1" applyNumberFormat="1" applyFont="1" applyFill="1" applyBorder="1" applyAlignment="1">
      <alignment horizontal="center" vertical="center" wrapText="1"/>
    </xf>
    <xf numFmtId="4" fontId="1" fillId="0" borderId="2" xfId="1" applyNumberFormat="1" applyFont="1" applyBorder="1" applyAlignment="1">
      <alignment horizontal="left" vertical="center"/>
    </xf>
    <xf numFmtId="4" fontId="1" fillId="0" borderId="2" xfId="1" applyNumberFormat="1" applyFont="1" applyBorder="1" applyAlignment="1">
      <alignment horizontal="left" vertical="center" wrapText="1"/>
    </xf>
    <xf numFmtId="4" fontId="1" fillId="0" borderId="2" xfId="1" applyNumberFormat="1" applyFont="1" applyBorder="1" applyAlignment="1">
      <alignment horizontal="center" vertical="center" wrapText="1"/>
    </xf>
    <xf numFmtId="0" fontId="1" fillId="0" borderId="2" xfId="2" applyFont="1" applyBorder="1" applyAlignment="1">
      <alignment vertical="center" wrapText="1" shrinkToFit="1"/>
    </xf>
    <xf numFmtId="14" fontId="1" fillId="0" borderId="2" xfId="2" applyNumberFormat="1" applyFont="1" applyBorder="1" applyAlignment="1">
      <alignment horizontal="center" vertical="center" wrapText="1" shrinkToFit="1"/>
    </xf>
    <xf numFmtId="0" fontId="1" fillId="0" borderId="2" xfId="1" applyFont="1" applyBorder="1" applyAlignment="1">
      <alignment horizontal="center" vertical="center" wrapText="1"/>
    </xf>
    <xf numFmtId="4" fontId="1" fillId="2" borderId="5" xfId="1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4" fontId="1" fillId="2" borderId="4" xfId="1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" fontId="1" fillId="2" borderId="14" xfId="1" applyNumberFormat="1" applyFont="1" applyFill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16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4" fontId="1" fillId="2" borderId="20" xfId="1" applyNumberFormat="1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4" fontId="1" fillId="2" borderId="1" xfId="1" applyNumberFormat="1" applyFont="1" applyFill="1" applyBorder="1" applyAlignment="1">
      <alignment horizontal="center" vertical="center" wrapText="1"/>
    </xf>
    <xf numFmtId="4" fontId="1" fillId="0" borderId="1" xfId="1" applyNumberFormat="1" applyFont="1" applyBorder="1" applyAlignment="1">
      <alignment horizontal="center" vertical="center" wrapText="1"/>
    </xf>
    <xf numFmtId="4" fontId="1" fillId="2" borderId="1" xfId="1" applyNumberFormat="1" applyFont="1" applyFill="1" applyBorder="1" applyAlignment="1">
      <alignment horizontal="center" vertical="center"/>
    </xf>
    <xf numFmtId="0" fontId="1" fillId="0" borderId="20" xfId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9" fontId="2" fillId="4" borderId="2" xfId="0" applyNumberFormat="1" applyFont="1" applyFill="1" applyBorder="1" applyAlignment="1">
      <alignment horizontal="center" vertical="center"/>
    </xf>
    <xf numFmtId="4" fontId="1" fillId="4" borderId="2" xfId="1" applyNumberFormat="1" applyFont="1" applyFill="1" applyBorder="1" applyAlignment="1">
      <alignment horizontal="center" vertical="center" wrapText="1"/>
    </xf>
    <xf numFmtId="4" fontId="1" fillId="4" borderId="20" xfId="1" applyNumberFormat="1" applyFont="1" applyFill="1" applyBorder="1" applyAlignment="1">
      <alignment horizontal="center" vertical="center" wrapText="1"/>
    </xf>
    <xf numFmtId="2" fontId="2" fillId="4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/>
    </xf>
    <xf numFmtId="170" fontId="1" fillId="2" borderId="2" xfId="1" applyNumberFormat="1" applyFont="1" applyFill="1" applyBorder="1" applyAlignment="1">
      <alignment horizontal="center" vertical="center"/>
    </xf>
    <xf numFmtId="170" fontId="1" fillId="0" borderId="2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" fontId="1" fillId="0" borderId="2" xfId="1" applyNumberFormat="1" applyFont="1" applyBorder="1" applyAlignment="1">
      <alignment horizontal="center" vertical="center"/>
    </xf>
    <xf numFmtId="164" fontId="2" fillId="0" borderId="0" xfId="3" applyFont="1" applyFill="1" applyAlignment="1">
      <alignment horizontal="center" vertical="center"/>
    </xf>
    <xf numFmtId="164" fontId="2" fillId="0" borderId="2" xfId="3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171" fontId="2" fillId="0" borderId="2" xfId="0" applyNumberFormat="1" applyFont="1" applyBorder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" fontId="1" fillId="0" borderId="4" xfId="1" applyNumberFormat="1" applyFont="1" applyBorder="1" applyAlignment="1">
      <alignment horizontal="center" vertical="center" wrapText="1"/>
    </xf>
    <xf numFmtId="4" fontId="1" fillId="2" borderId="4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171" fontId="2" fillId="6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5" fontId="8" fillId="0" borderId="0" xfId="0" quotePrefix="1" applyNumberFormat="1" applyFont="1" applyAlignment="1">
      <alignment vertical="center"/>
    </xf>
    <xf numFmtId="0" fontId="8" fillId="0" borderId="0" xfId="0" quotePrefix="1" applyFont="1" applyAlignment="1">
      <alignment vertical="center"/>
    </xf>
    <xf numFmtId="164" fontId="8" fillId="0" borderId="11" xfId="3" applyFont="1" applyBorder="1" applyAlignment="1">
      <alignment vertical="center"/>
    </xf>
    <xf numFmtId="0" fontId="8" fillId="0" borderId="0" xfId="0" quotePrefix="1" applyFont="1" applyAlignment="1">
      <alignment horizontal="center" vertical="center"/>
    </xf>
    <xf numFmtId="164" fontId="8" fillId="0" borderId="0" xfId="3" quotePrefix="1" applyFont="1" applyBorder="1" applyAlignment="1">
      <alignment horizontal="center" vertical="center"/>
    </xf>
    <xf numFmtId="164" fontId="8" fillId="0" borderId="0" xfId="3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3" applyFont="1" applyBorder="1" applyAlignment="1">
      <alignment horizontal="center" vertical="center"/>
    </xf>
    <xf numFmtId="164" fontId="8" fillId="0" borderId="14" xfId="3" applyFont="1" applyBorder="1" applyAlignment="1">
      <alignment vertical="center"/>
    </xf>
    <xf numFmtId="164" fontId="8" fillId="0" borderId="0" xfId="3" applyFont="1" applyBorder="1" applyAlignment="1">
      <alignment vertical="center"/>
    </xf>
    <xf numFmtId="164" fontId="8" fillId="0" borderId="1" xfId="3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top"/>
    </xf>
    <xf numFmtId="0" fontId="2" fillId="0" borderId="0" xfId="0" applyFont="1"/>
    <xf numFmtId="0" fontId="2" fillId="0" borderId="2" xfId="0" applyFont="1" applyBorder="1"/>
    <xf numFmtId="164" fontId="2" fillId="0" borderId="2" xfId="3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164" fontId="2" fillId="0" borderId="2" xfId="3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 2" xfId="1" xr:uid="{14947BB5-9253-4DA8-9FF2-3C4C7C5C77E5}"/>
    <cellStyle name="Normal 3 2" xfId="2" xr:uid="{6C8E6D9E-F2B0-46B4-ABCC-A15DCE142D7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47626</xdr:rowOff>
    </xdr:from>
    <xdr:to>
      <xdr:col>0</xdr:col>
      <xdr:colOff>1200150</xdr:colOff>
      <xdr:row>1</xdr:row>
      <xdr:rowOff>170722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42ED28-EE73-41F9-9547-890AD0233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47626"/>
          <a:ext cx="714375" cy="3707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145679</xdr:colOff>
      <xdr:row>7</xdr:row>
      <xdr:rowOff>89648</xdr:rowOff>
    </xdr:from>
    <xdr:to>
      <xdr:col>28</xdr:col>
      <xdr:colOff>268942</xdr:colOff>
      <xdr:row>11</xdr:row>
      <xdr:rowOff>134470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E4714A1-8A4A-4302-BCB0-A909BC3CB29B}"/>
            </a:ext>
          </a:extLst>
        </xdr:cNvPr>
        <xdr:cNvSpPr/>
      </xdr:nvSpPr>
      <xdr:spPr>
        <a:xfrm>
          <a:off x="15614279" y="1689848"/>
          <a:ext cx="951938" cy="111162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100">
              <a:solidFill>
                <a:sysClr val="windowText" lastClr="000000"/>
              </a:solidFill>
            </a:rPr>
            <a:t>ติดรูปถ่าย</a:t>
          </a:r>
        </a:p>
        <a:p>
          <a:pPr algn="ctr"/>
          <a:r>
            <a:rPr lang="th-TH" sz="1100">
              <a:solidFill>
                <a:sysClr val="windowText" lastClr="000000"/>
              </a:solidFill>
            </a:rPr>
            <a:t>1</a:t>
          </a:r>
          <a:r>
            <a:rPr lang="en-US" sz="1100">
              <a:solidFill>
                <a:sysClr val="windowText" lastClr="000000"/>
              </a:solidFill>
            </a:rPr>
            <a:t>"</a:t>
          </a:r>
          <a:r>
            <a:rPr lang="en-US" sz="1100" baseline="0">
              <a:solidFill>
                <a:sysClr val="windowText" lastClr="000000"/>
              </a:solidFill>
            </a:rPr>
            <a:t> x 1"</a:t>
          </a:r>
          <a:endParaRPr lang="th-TH" sz="1100"/>
        </a:p>
      </xdr:txBody>
    </xdr:sp>
    <xdr:clientData/>
  </xdr:twoCellAnchor>
  <xdr:twoCellAnchor editAs="oneCell">
    <xdr:from>
      <xdr:col>0</xdr:col>
      <xdr:colOff>104775</xdr:colOff>
      <xdr:row>0</xdr:row>
      <xdr:rowOff>76200</xdr:rowOff>
    </xdr:from>
    <xdr:to>
      <xdr:col>3</xdr:col>
      <xdr:colOff>193937</xdr:colOff>
      <xdr:row>2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F660B5-8863-4BD9-AB23-1CD008B54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76200"/>
          <a:ext cx="803537" cy="485775"/>
        </a:xfrm>
        <a:prstGeom prst="rect">
          <a:avLst/>
        </a:prstGeom>
      </xdr:spPr>
    </xdr:pic>
    <xdr:clientData/>
  </xdr:twoCellAnchor>
  <xdr:twoCellAnchor>
    <xdr:from>
      <xdr:col>5</xdr:col>
      <xdr:colOff>171450</xdr:colOff>
      <xdr:row>29</xdr:row>
      <xdr:rowOff>66675</xdr:rowOff>
    </xdr:from>
    <xdr:to>
      <xdr:col>21</xdr:col>
      <xdr:colOff>209550</xdr:colOff>
      <xdr:row>39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87F5896-558B-1E33-6231-CFB5D081284B}"/>
            </a:ext>
          </a:extLst>
        </xdr:cNvPr>
        <xdr:cNvSpPr txBox="1"/>
      </xdr:nvSpPr>
      <xdr:spPr>
        <a:xfrm>
          <a:off x="1552575" y="7553325"/>
          <a:ext cx="4457700" cy="2733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/>
            <a:t>สำเนาบัตรประชาชน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ppData/Local/Packages/Microsoft.MicrosoftEdge_8wekyb3d8bbwe/TempState/Downloads/2850100_3%20Salary%20March%202020%20(1).xls" TargetMode="External"/><Relationship Id="rId1" Type="http://schemas.openxmlformats.org/officeDocument/2006/relationships/externalLinkPath" Target="/Users/LENOVO/AppData/Local/Packages/Microsoft.MicrosoftEdge_8wekyb3d8bbwe/TempState/Downloads/2850100_3%20Salary%20March%202020%20(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dministrator/Documents/DJETH/&#51064;&#49324;/2016&#45380;/Salary%20Plan%2020160301_&#54869;&#51221;.xlsx" TargetMode="External"/><Relationship Id="rId1" Type="http://schemas.openxmlformats.org/officeDocument/2006/relationships/externalLinkPath" Target="/Users/Administrator/Documents/DJETH/&#51064;&#49324;/2016&#45380;/Salary%20Plan%2020160301_&#54869;&#51221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dministrator/AppData/Local/Microsoft/Windows/Temporary%20Internet%20Files/Content.Outlook/DYEJJL0Q/Salary%20Plan%2020160208.xlsx" TargetMode="External"/><Relationship Id="rId1" Type="http://schemas.openxmlformats.org/officeDocument/2006/relationships/externalLinkPath" Target="/Users/Administrator/AppData/Local/Microsoft/Windows/Temporary%20Internet%20Files/Content.Outlook/DYEJJL0Q/Salary%20Plan%2020160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low"/>
      <sheetName val="1.Holiday"/>
      <sheetName val="Detail"/>
      <sheetName val="2. Master"/>
      <sheetName val="3_1. OT"/>
      <sheetName val="3_2. Pivot"/>
      <sheetName val="5. Bank"/>
      <sheetName val="6. PND1"/>
      <sheetName val="7. ใบหน้า_สมทบ"/>
      <sheetName val="7-1. ใบแนบ_สบทบ"/>
      <sheetName val="Remarks"/>
      <sheetName val="Report"/>
      <sheetName val="Leave"/>
      <sheetName val="Advance"/>
      <sheetName val="Sheet1"/>
      <sheetName val="Diligence"/>
      <sheetName val="SSO"/>
      <sheetName val="4. Slip"/>
    </sheetNames>
    <sheetDataSet>
      <sheetData sheetId="0" refreshError="1"/>
      <sheetData sheetId="1">
        <row r="1">
          <cell r="B1" t="str">
            <v>Date</v>
          </cell>
          <cell r="C1" t="str">
            <v>Holiday</v>
          </cell>
        </row>
        <row r="2">
          <cell r="B2">
            <v>43831</v>
          </cell>
          <cell r="C2" t="str">
            <v>New Year</v>
          </cell>
        </row>
        <row r="3">
          <cell r="B3">
            <v>43832</v>
          </cell>
          <cell r="C3" t="str">
            <v>New Year</v>
          </cell>
        </row>
        <row r="4">
          <cell r="B4">
            <v>43833</v>
          </cell>
          <cell r="C4" t="str">
            <v>New Year</v>
          </cell>
        </row>
        <row r="5">
          <cell r="B5">
            <v>43834</v>
          </cell>
          <cell r="C5" t="str">
            <v>Special  Shutdown  Day</v>
          </cell>
        </row>
        <row r="6">
          <cell r="B6">
            <v>43869</v>
          </cell>
          <cell r="C6" t="str">
            <v>Makha Bucha Day</v>
          </cell>
        </row>
        <row r="7">
          <cell r="B7">
            <v>43934</v>
          </cell>
          <cell r="C7" t="str">
            <v>Songkran Festival Day</v>
          </cell>
        </row>
        <row r="8">
          <cell r="B8">
            <v>43935</v>
          </cell>
          <cell r="C8" t="str">
            <v>Songkran Festival Day</v>
          </cell>
        </row>
        <row r="9">
          <cell r="B9">
            <v>43936</v>
          </cell>
          <cell r="C9" t="str">
            <v>Songkran Festival Day</v>
          </cell>
        </row>
        <row r="10">
          <cell r="B10">
            <v>43937</v>
          </cell>
          <cell r="C10" t="str">
            <v>Special  Shutdown  Day</v>
          </cell>
        </row>
        <row r="11">
          <cell r="B11">
            <v>43938</v>
          </cell>
          <cell r="C11" t="str">
            <v>Special  Shutdown  Day</v>
          </cell>
        </row>
        <row r="12">
          <cell r="B12">
            <v>43939</v>
          </cell>
          <cell r="C12" t="str">
            <v>Special  Shutdown  Day</v>
          </cell>
        </row>
        <row r="13">
          <cell r="B13">
            <v>43586</v>
          </cell>
          <cell r="C13" t="str">
            <v>National Labour Day</v>
          </cell>
        </row>
        <row r="14">
          <cell r="B14">
            <v>43957</v>
          </cell>
          <cell r="C14" t="str">
            <v>Visakhabucha Day</v>
          </cell>
        </row>
        <row r="15">
          <cell r="B15">
            <v>44018</v>
          </cell>
          <cell r="C15" t="str">
            <v>Asarahabucha Day</v>
          </cell>
        </row>
        <row r="16">
          <cell r="B16">
            <v>44055</v>
          </cell>
          <cell r="C16" t="str">
            <v>The Queen'sBirthday</v>
          </cell>
        </row>
        <row r="17">
          <cell r="B17">
            <v>44170</v>
          </cell>
          <cell r="C17" t="str">
            <v>H.M.The King's Birthday</v>
          </cell>
        </row>
        <row r="18">
          <cell r="B18">
            <v>43829</v>
          </cell>
          <cell r="C18" t="str">
            <v>Exchange Holiday</v>
          </cell>
        </row>
        <row r="19">
          <cell r="B19">
            <v>43830</v>
          </cell>
          <cell r="C19" t="str">
            <v>New Year</v>
          </cell>
        </row>
      </sheetData>
      <sheetData sheetId="2" refreshError="1"/>
      <sheetData sheetId="3"/>
      <sheetData sheetId="4">
        <row r="2">
          <cell r="I2">
            <v>43882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 2015"/>
      <sheetName val="base salary Plan 2016"/>
      <sheetName val="Team(案)"/>
      <sheetName val="Base Rule"/>
      <sheetName val="Home"/>
      <sheetName val="Position"/>
      <sheetName val="Reponsibility"/>
      <sheetName val="Technical_Skill"/>
      <sheetName val="Language"/>
      <sheetName val="Other"/>
      <sheetName val="Mobile"/>
      <sheetName val="Gasolin"/>
      <sheetName val="Full Working"/>
      <sheetName val="Food"/>
      <sheetName val="인상등급"/>
      <sheetName val="Sheet1"/>
    </sheetNames>
    <sheetDataSet>
      <sheetData sheetId="0">
        <row r="2">
          <cell r="A2" t="str">
            <v>ID Card</v>
          </cell>
        </row>
      </sheetData>
      <sheetData sheetId="1">
        <row r="4">
          <cell r="A4" t="str">
            <v>DJ15070006</v>
          </cell>
        </row>
      </sheetData>
      <sheetData sheetId="2">
        <row r="2">
          <cell r="A2" t="str">
            <v>ID Card</v>
          </cell>
        </row>
      </sheetData>
      <sheetData sheetId="3">
        <row r="2">
          <cell r="E2">
            <v>1.2E-2</v>
          </cell>
        </row>
      </sheetData>
      <sheetData sheetId="4">
        <row r="10">
          <cell r="C10" t="str">
            <v>Grade</v>
          </cell>
        </row>
      </sheetData>
      <sheetData sheetId="5"/>
      <sheetData sheetId="6">
        <row r="4">
          <cell r="B4" t="str">
            <v>직책수당</v>
          </cell>
        </row>
        <row r="12">
          <cell r="B12" t="str">
            <v>Sub Leader</v>
          </cell>
        </row>
        <row r="13">
          <cell r="B13" t="str">
            <v>Leader</v>
          </cell>
        </row>
        <row r="14">
          <cell r="B14" t="str">
            <v>Supervisor</v>
          </cell>
        </row>
        <row r="15">
          <cell r="B15" t="str">
            <v>Part Lrader</v>
          </cell>
        </row>
        <row r="16">
          <cell r="B16" t="str">
            <v>Team Leader</v>
          </cell>
        </row>
        <row r="17">
          <cell r="B17" t="str">
            <v>Factory Head</v>
          </cell>
        </row>
      </sheetData>
      <sheetData sheetId="7">
        <row r="4">
          <cell r="B4" t="str">
            <v>- 기술자 양성</v>
          </cell>
        </row>
        <row r="12">
          <cell r="C12" t="str">
            <v>Mold</v>
          </cell>
        </row>
        <row r="13">
          <cell r="C13" t="str">
            <v>Tech</v>
          </cell>
        </row>
        <row r="14">
          <cell r="C14" t="str">
            <v>PM</v>
          </cell>
        </row>
        <row r="15">
          <cell r="C15" t="str">
            <v>ENG</v>
          </cell>
        </row>
        <row r="16">
          <cell r="C16" t="str">
            <v>QC</v>
          </cell>
        </row>
      </sheetData>
      <sheetData sheetId="8">
        <row r="4">
          <cell r="B4" t="str">
            <v xml:space="preserve">- 현지인으로 외국어 능력 보유자 </v>
          </cell>
        </row>
        <row r="20">
          <cell r="K20" t="str">
            <v>K1</v>
          </cell>
        </row>
        <row r="21">
          <cell r="K21" t="str">
            <v>K2</v>
          </cell>
        </row>
        <row r="22">
          <cell r="K22" t="str">
            <v>K3</v>
          </cell>
        </row>
        <row r="23">
          <cell r="K23" t="str">
            <v>K4</v>
          </cell>
        </row>
        <row r="24">
          <cell r="K24" t="str">
            <v>K5</v>
          </cell>
        </row>
        <row r="25">
          <cell r="K25" t="str">
            <v>K6</v>
          </cell>
        </row>
        <row r="26">
          <cell r="K26" t="str">
            <v>N1</v>
          </cell>
        </row>
        <row r="27">
          <cell r="K27" t="str">
            <v>N2</v>
          </cell>
        </row>
        <row r="28">
          <cell r="K28" t="str">
            <v>N3</v>
          </cell>
        </row>
        <row r="29">
          <cell r="K29" t="str">
            <v>N4</v>
          </cell>
        </row>
        <row r="30">
          <cell r="K30" t="str">
            <v>N5</v>
          </cell>
        </row>
        <row r="31">
          <cell r="K31" t="str">
            <v>N6</v>
          </cell>
        </row>
      </sheetData>
      <sheetData sheetId="9">
        <row r="4">
          <cell r="B4" t="str">
            <v>- 기타 수당</v>
          </cell>
        </row>
      </sheetData>
      <sheetData sheetId="10"/>
      <sheetData sheetId="11"/>
      <sheetData sheetId="12"/>
      <sheetData sheetId="13"/>
      <sheetData sheetId="14">
        <row r="2">
          <cell r="B2" t="str">
            <v>구분</v>
          </cell>
        </row>
      </sheetData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 2015"/>
      <sheetName val="Sheet1"/>
    </sheetNames>
    <sheetDataSet>
      <sheetData sheetId="0"/>
      <sheetData sheetId="1">
        <row r="4">
          <cell r="B4" t="str">
            <v>A</v>
          </cell>
        </row>
        <row r="5">
          <cell r="B5" t="str">
            <v>B</v>
          </cell>
        </row>
        <row r="6">
          <cell r="B6" t="str">
            <v>C</v>
          </cell>
        </row>
        <row r="7">
          <cell r="B7" t="str">
            <v>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C6F6-7993-4286-AF61-062A0E8BB18E}">
  <dimension ref="A1:S43"/>
  <sheetViews>
    <sheetView tabSelected="1" zoomScaleNormal="100" workbookViewId="0">
      <pane xSplit="6" ySplit="3" topLeftCell="G37" activePane="bottomRight" state="frozen"/>
      <selection pane="topRight" activeCell="F1" sqref="F1"/>
      <selection pane="bottomLeft" activeCell="A5" sqref="A5"/>
      <selection pane="bottomRight" activeCell="A44" sqref="A44:XFD155"/>
    </sheetView>
  </sheetViews>
  <sheetFormatPr defaultColWidth="17" defaultRowHeight="23"/>
  <cols>
    <col min="1" max="1" width="5.81640625" style="117" customWidth="1"/>
    <col min="2" max="2" width="9.453125" style="1" customWidth="1"/>
    <col min="3" max="3" width="25.7265625" style="2" customWidth="1"/>
    <col min="4" max="4" width="13" style="5" customWidth="1"/>
    <col min="5" max="5" width="10.81640625" style="5" customWidth="1"/>
    <col min="6" max="6" width="13" style="48" customWidth="1"/>
    <col min="7" max="7" width="11.453125" style="49" customWidth="1"/>
    <col min="8" max="8" width="6.453125" style="49" customWidth="1"/>
    <col min="9" max="9" width="6.453125" style="5" customWidth="1"/>
    <col min="10" max="10" width="9.26953125" style="5" customWidth="1"/>
    <col min="11" max="11" width="19.453125" style="6" customWidth="1"/>
    <col min="12" max="12" width="17" style="7"/>
    <col min="13" max="13" width="17" style="5"/>
    <col min="14" max="14" width="12.81640625" style="5" customWidth="1"/>
    <col min="15" max="15" width="7.26953125" style="5" customWidth="1"/>
    <col min="16" max="16" width="18.453125" style="2" customWidth="1"/>
    <col min="17" max="17" width="10" style="5" customWidth="1"/>
    <col min="18" max="18" width="41.1796875" style="5" customWidth="1"/>
    <col min="19" max="16384" width="17" style="8"/>
  </cols>
  <sheetData>
    <row r="1" spans="1:19" ht="26.25" customHeight="1">
      <c r="D1" s="3">
        <f ca="1">NOW()</f>
        <v>46281.31338472222</v>
      </c>
      <c r="E1" s="3"/>
      <c r="F1" s="4"/>
      <c r="G1" s="1"/>
      <c r="H1" s="1"/>
    </row>
    <row r="2" spans="1:19" ht="26.25" customHeight="1">
      <c r="A2" s="9" t="s">
        <v>0</v>
      </c>
      <c r="B2" s="9"/>
      <c r="C2" s="9"/>
      <c r="D2" s="10"/>
      <c r="E2" s="11"/>
      <c r="F2" s="12"/>
      <c r="G2" s="9"/>
      <c r="H2" s="9"/>
      <c r="I2" s="9"/>
      <c r="J2" s="9"/>
      <c r="K2" s="9"/>
      <c r="L2" s="9"/>
      <c r="M2" s="9"/>
      <c r="N2" s="9"/>
      <c r="O2" s="9"/>
      <c r="P2" s="13"/>
      <c r="Q2" s="9"/>
      <c r="R2" s="9"/>
    </row>
    <row r="3" spans="1:19" s="18" customFormat="1" ht="27" customHeight="1">
      <c r="A3" s="101" t="s">
        <v>1</v>
      </c>
      <c r="B3" s="14" t="s">
        <v>2</v>
      </c>
      <c r="C3" s="14" t="s">
        <v>3</v>
      </c>
      <c r="D3" s="14" t="s">
        <v>4</v>
      </c>
      <c r="E3" s="14"/>
      <c r="F3" s="15" t="s">
        <v>5</v>
      </c>
      <c r="G3" s="14" t="s">
        <v>8</v>
      </c>
      <c r="H3" s="14" t="s">
        <v>9</v>
      </c>
      <c r="I3" s="14" t="s">
        <v>10</v>
      </c>
      <c r="J3" s="14" t="s">
        <v>11</v>
      </c>
      <c r="K3" s="16" t="s">
        <v>12</v>
      </c>
      <c r="L3" s="17" t="s">
        <v>13</v>
      </c>
      <c r="M3" s="14" t="s">
        <v>14</v>
      </c>
      <c r="N3" s="14" t="s">
        <v>15</v>
      </c>
      <c r="O3" s="141" t="s">
        <v>16</v>
      </c>
      <c r="P3" s="142"/>
      <c r="Q3" s="14" t="s">
        <v>17</v>
      </c>
      <c r="R3" s="14" t="s">
        <v>18</v>
      </c>
    </row>
    <row r="4" spans="1:19" s="32" customFormat="1" ht="46">
      <c r="A4" s="118">
        <v>1</v>
      </c>
      <c r="B4" s="99">
        <v>210993</v>
      </c>
      <c r="C4" s="19" t="s">
        <v>19</v>
      </c>
      <c r="D4" s="20" t="s">
        <v>20</v>
      </c>
      <c r="E4" s="21" t="s">
        <v>21</v>
      </c>
      <c r="F4" s="22"/>
      <c r="G4" s="24"/>
      <c r="H4" s="25" t="str">
        <f t="shared" ref="H4:H42" ca="1" si="0">YEAR(TODAY())-YEAR(G4)&amp;"Y"</f>
        <v>126Y</v>
      </c>
      <c r="I4" s="26" t="s">
        <v>22</v>
      </c>
      <c r="J4" s="26" t="s">
        <v>23</v>
      </c>
      <c r="K4" s="27"/>
      <c r="L4" s="28" t="s">
        <v>24</v>
      </c>
      <c r="M4" s="26"/>
      <c r="N4" s="29"/>
      <c r="O4" s="29" t="s">
        <v>25</v>
      </c>
      <c r="P4" s="30"/>
      <c r="Q4" s="26"/>
      <c r="R4" s="31"/>
      <c r="S4" s="8"/>
    </row>
    <row r="5" spans="1:19" s="32" customFormat="1">
      <c r="A5" s="101">
        <v>2</v>
      </c>
      <c r="B5" s="106">
        <v>120189</v>
      </c>
      <c r="C5" s="33" t="s">
        <v>26</v>
      </c>
      <c r="D5" s="34" t="s">
        <v>27</v>
      </c>
      <c r="E5" s="35" t="s">
        <v>21</v>
      </c>
      <c r="F5" s="22">
        <v>43400</v>
      </c>
      <c r="G5" s="24">
        <v>25962</v>
      </c>
      <c r="H5" s="25" t="str">
        <f t="shared" ca="1" si="0"/>
        <v>55Y</v>
      </c>
      <c r="I5" s="26" t="s">
        <v>28</v>
      </c>
      <c r="J5" s="26" t="s">
        <v>29</v>
      </c>
      <c r="K5" s="36">
        <v>3490400109281</v>
      </c>
      <c r="L5" s="37">
        <v>984513766</v>
      </c>
      <c r="M5" s="23">
        <v>4360151024</v>
      </c>
      <c r="N5" s="29" t="s">
        <v>30</v>
      </c>
      <c r="O5" s="29" t="s">
        <v>31</v>
      </c>
      <c r="P5" s="30" t="s">
        <v>32</v>
      </c>
      <c r="Q5" s="23"/>
      <c r="R5" s="38"/>
      <c r="S5" s="8"/>
    </row>
    <row r="6" spans="1:19" s="32" customFormat="1">
      <c r="A6" s="118">
        <v>3</v>
      </c>
      <c r="B6" s="106">
        <v>120260</v>
      </c>
      <c r="C6" s="33" t="s">
        <v>33</v>
      </c>
      <c r="D6" s="34" t="s">
        <v>27</v>
      </c>
      <c r="E6" s="35" t="s">
        <v>21</v>
      </c>
      <c r="F6" s="22">
        <v>43715</v>
      </c>
      <c r="G6" s="24">
        <v>27577</v>
      </c>
      <c r="H6" s="25" t="str">
        <f t="shared" ca="1" si="0"/>
        <v>51Y</v>
      </c>
      <c r="I6" s="26" t="s">
        <v>28</v>
      </c>
      <c r="J6" s="26" t="s">
        <v>29</v>
      </c>
      <c r="K6" s="36">
        <v>3331200116111</v>
      </c>
      <c r="L6" s="37" t="s">
        <v>34</v>
      </c>
      <c r="M6" s="23">
        <v>5822862620</v>
      </c>
      <c r="N6" s="29" t="s">
        <v>30</v>
      </c>
      <c r="O6" s="29" t="s">
        <v>31</v>
      </c>
      <c r="P6" s="30" t="s">
        <v>35</v>
      </c>
      <c r="Q6" s="23"/>
      <c r="R6" s="38"/>
      <c r="S6" s="8"/>
    </row>
    <row r="7" spans="1:19" s="32" customFormat="1" ht="47.25" customHeight="1">
      <c r="A7" s="101">
        <v>4</v>
      </c>
      <c r="B7" s="106">
        <v>120014</v>
      </c>
      <c r="C7" s="33" t="s">
        <v>36</v>
      </c>
      <c r="D7" s="34" t="s">
        <v>27</v>
      </c>
      <c r="E7" s="35" t="s">
        <v>21</v>
      </c>
      <c r="F7" s="22"/>
      <c r="G7" s="24">
        <v>33124</v>
      </c>
      <c r="H7" s="25" t="str">
        <f t="shared" ca="1" si="0"/>
        <v>36Y</v>
      </c>
      <c r="I7" s="26" t="s">
        <v>28</v>
      </c>
      <c r="J7" s="26" t="s">
        <v>29</v>
      </c>
      <c r="K7" s="36">
        <v>1320600144106</v>
      </c>
      <c r="L7" s="37">
        <v>902394930</v>
      </c>
      <c r="M7" s="23">
        <v>4232189399</v>
      </c>
      <c r="N7" s="29" t="s">
        <v>30</v>
      </c>
      <c r="O7" s="29" t="s">
        <v>31</v>
      </c>
      <c r="P7" s="30" t="s">
        <v>37</v>
      </c>
      <c r="Q7" s="23" t="s">
        <v>38</v>
      </c>
      <c r="R7" s="38"/>
      <c r="S7" s="8"/>
    </row>
    <row r="8" spans="1:19">
      <c r="A8" s="118">
        <v>5</v>
      </c>
      <c r="B8" s="106">
        <v>120697</v>
      </c>
      <c r="C8" s="39" t="s">
        <v>39</v>
      </c>
      <c r="D8" s="34" t="s">
        <v>27</v>
      </c>
      <c r="E8" s="35" t="s">
        <v>21</v>
      </c>
      <c r="F8" s="22">
        <v>45125</v>
      </c>
      <c r="G8" s="24">
        <v>30931</v>
      </c>
      <c r="H8" s="25" t="str">
        <f t="shared" ca="1" si="0"/>
        <v>42Y</v>
      </c>
      <c r="I8" s="26" t="s">
        <v>28</v>
      </c>
      <c r="J8" s="26" t="s">
        <v>29</v>
      </c>
      <c r="K8" s="36">
        <v>1490500010930</v>
      </c>
      <c r="L8" s="37">
        <v>65538932</v>
      </c>
      <c r="M8" s="23">
        <v>4361656289</v>
      </c>
      <c r="N8" s="29" t="s">
        <v>30</v>
      </c>
      <c r="O8" s="29" t="s">
        <v>31</v>
      </c>
      <c r="P8" s="30" t="s">
        <v>32</v>
      </c>
      <c r="Q8" s="23"/>
      <c r="R8" s="38"/>
    </row>
    <row r="9" spans="1:19" ht="46">
      <c r="A9" s="101">
        <v>6</v>
      </c>
      <c r="B9" s="100">
        <v>220697</v>
      </c>
      <c r="C9" s="39" t="s">
        <v>40</v>
      </c>
      <c r="D9" s="39" t="s">
        <v>27</v>
      </c>
      <c r="E9" s="40" t="s">
        <v>21</v>
      </c>
      <c r="F9" s="22"/>
      <c r="G9" s="24"/>
      <c r="H9" s="25" t="str">
        <f t="shared" ca="1" si="0"/>
        <v>126Y</v>
      </c>
      <c r="I9" s="26" t="s">
        <v>28</v>
      </c>
      <c r="J9" s="26" t="s">
        <v>23</v>
      </c>
      <c r="K9" s="36"/>
      <c r="L9" s="37" t="s">
        <v>41</v>
      </c>
      <c r="M9" s="23">
        <v>4310115515</v>
      </c>
      <c r="N9" s="29" t="s">
        <v>30</v>
      </c>
      <c r="O9" s="29" t="s">
        <v>25</v>
      </c>
      <c r="P9" s="30"/>
      <c r="Q9" s="23"/>
      <c r="R9" s="38"/>
    </row>
    <row r="10" spans="1:19">
      <c r="A10" s="118">
        <v>7</v>
      </c>
      <c r="B10" s="106">
        <v>120150</v>
      </c>
      <c r="C10" s="39" t="s">
        <v>42</v>
      </c>
      <c r="D10" s="39" t="s">
        <v>43</v>
      </c>
      <c r="E10" s="40" t="s">
        <v>21</v>
      </c>
      <c r="F10" s="22">
        <v>43049</v>
      </c>
      <c r="G10" s="24">
        <v>34375</v>
      </c>
      <c r="H10" s="25" t="str">
        <f t="shared" ca="1" si="0"/>
        <v>32Y</v>
      </c>
      <c r="I10" s="26" t="s">
        <v>28</v>
      </c>
      <c r="J10" s="26" t="s">
        <v>29</v>
      </c>
      <c r="K10" s="36">
        <v>1301300193137</v>
      </c>
      <c r="L10" s="37">
        <v>659580418</v>
      </c>
      <c r="M10" s="23">
        <v>4085925091</v>
      </c>
      <c r="N10" s="29" t="s">
        <v>30</v>
      </c>
      <c r="O10" s="29" t="s">
        <v>31</v>
      </c>
      <c r="P10" s="30" t="s">
        <v>44</v>
      </c>
      <c r="Q10" s="23" t="s">
        <v>38</v>
      </c>
      <c r="R10" s="38"/>
    </row>
    <row r="11" spans="1:19">
      <c r="A11" s="101">
        <v>8</v>
      </c>
      <c r="B11" s="106">
        <v>120748</v>
      </c>
      <c r="C11" s="39" t="s">
        <v>45</v>
      </c>
      <c r="D11" s="39" t="s">
        <v>27</v>
      </c>
      <c r="E11" s="40" t="s">
        <v>46</v>
      </c>
      <c r="F11" s="22">
        <v>45308</v>
      </c>
      <c r="G11" s="24">
        <v>27829</v>
      </c>
      <c r="H11" s="25" t="str">
        <f t="shared" ca="1" si="0"/>
        <v>50Y</v>
      </c>
      <c r="I11" s="26" t="s">
        <v>28</v>
      </c>
      <c r="J11" s="26" t="s">
        <v>29</v>
      </c>
      <c r="K11" s="36">
        <v>3670300095081</v>
      </c>
      <c r="L11" s="37">
        <v>927820197</v>
      </c>
      <c r="M11" s="23">
        <v>9912684376</v>
      </c>
      <c r="N11" s="29" t="s">
        <v>30</v>
      </c>
      <c r="O11" s="29" t="s">
        <v>31</v>
      </c>
      <c r="P11" s="30" t="s">
        <v>44</v>
      </c>
      <c r="Q11" s="23"/>
      <c r="R11" s="38"/>
    </row>
    <row r="12" spans="1:19">
      <c r="A12" s="118">
        <v>9</v>
      </c>
      <c r="B12" s="106">
        <v>120901</v>
      </c>
      <c r="C12" s="39" t="s">
        <v>47</v>
      </c>
      <c r="D12" s="39" t="s">
        <v>27</v>
      </c>
      <c r="E12" s="40" t="s">
        <v>46</v>
      </c>
      <c r="F12" s="22">
        <v>45600</v>
      </c>
      <c r="G12" s="24">
        <v>27049</v>
      </c>
      <c r="H12" s="25" t="str">
        <f t="shared" ca="1" si="0"/>
        <v>52Y</v>
      </c>
      <c r="I12" s="26" t="s">
        <v>28</v>
      </c>
      <c r="J12" s="26" t="s">
        <v>29</v>
      </c>
      <c r="K12" s="36">
        <v>3670300095065</v>
      </c>
      <c r="L12" s="37" t="s">
        <v>48</v>
      </c>
      <c r="M12" s="23">
        <v>4261582417</v>
      </c>
      <c r="N12" s="29" t="s">
        <v>30</v>
      </c>
      <c r="O12" s="29" t="s">
        <v>31</v>
      </c>
      <c r="P12" s="30" t="s">
        <v>49</v>
      </c>
      <c r="Q12" s="23"/>
      <c r="R12" s="38"/>
    </row>
    <row r="13" spans="1:19">
      <c r="A13" s="101">
        <v>10</v>
      </c>
      <c r="B13" s="106">
        <v>110749</v>
      </c>
      <c r="C13" s="39" t="s">
        <v>50</v>
      </c>
      <c r="D13" s="39" t="s">
        <v>51</v>
      </c>
      <c r="E13" s="35" t="s">
        <v>46</v>
      </c>
      <c r="F13" s="22">
        <v>45308</v>
      </c>
      <c r="G13" s="24">
        <v>26824</v>
      </c>
      <c r="H13" s="25" t="str">
        <f t="shared" ca="1" si="0"/>
        <v>53Y</v>
      </c>
      <c r="I13" s="26" t="s">
        <v>22</v>
      </c>
      <c r="J13" s="26" t="s">
        <v>29</v>
      </c>
      <c r="K13" s="36">
        <v>5670700052475</v>
      </c>
      <c r="L13" s="37">
        <v>610082631</v>
      </c>
      <c r="M13" s="23">
        <v>4310380796</v>
      </c>
      <c r="N13" s="29" t="s">
        <v>30</v>
      </c>
      <c r="O13" s="29" t="s">
        <v>31</v>
      </c>
      <c r="P13" s="30" t="s">
        <v>44</v>
      </c>
      <c r="Q13" s="23"/>
      <c r="R13" s="38"/>
    </row>
    <row r="14" spans="1:19">
      <c r="A14" s="118">
        <v>11</v>
      </c>
      <c r="B14" s="106">
        <v>110709</v>
      </c>
      <c r="C14" s="41" t="s">
        <v>52</v>
      </c>
      <c r="D14" s="39" t="s">
        <v>51</v>
      </c>
      <c r="E14" s="35" t="s">
        <v>46</v>
      </c>
      <c r="F14" s="22">
        <v>45769</v>
      </c>
      <c r="G14" s="24">
        <v>27736</v>
      </c>
      <c r="H14" s="25" t="str">
        <f t="shared" ca="1" si="0"/>
        <v>51Y</v>
      </c>
      <c r="I14" s="26" t="s">
        <v>22</v>
      </c>
      <c r="J14" s="26" t="s">
        <v>29</v>
      </c>
      <c r="K14" s="36">
        <v>8570985009293</v>
      </c>
      <c r="L14" s="37">
        <v>850309821</v>
      </c>
      <c r="M14" s="23">
        <v>4341691005</v>
      </c>
      <c r="N14" s="29" t="s">
        <v>30</v>
      </c>
      <c r="O14" s="29" t="s">
        <v>31</v>
      </c>
      <c r="P14" s="30" t="s">
        <v>49</v>
      </c>
      <c r="Q14" s="23"/>
      <c r="R14" s="38"/>
    </row>
    <row r="15" spans="1:19">
      <c r="A15" s="101">
        <v>12</v>
      </c>
      <c r="B15" s="106">
        <v>111019</v>
      </c>
      <c r="C15" s="39" t="s">
        <v>53</v>
      </c>
      <c r="D15" s="39" t="s">
        <v>51</v>
      </c>
      <c r="E15" s="40" t="s">
        <v>46</v>
      </c>
      <c r="F15" s="22">
        <v>46086</v>
      </c>
      <c r="G15" s="24">
        <v>28347</v>
      </c>
      <c r="H15" s="25" t="str">
        <f t="shared" ca="1" si="0"/>
        <v>49Y</v>
      </c>
      <c r="I15" s="26" t="s">
        <v>22</v>
      </c>
      <c r="J15" s="26" t="s">
        <v>29</v>
      </c>
      <c r="K15" s="36">
        <v>5130400019698</v>
      </c>
      <c r="L15" s="37">
        <v>631791876</v>
      </c>
      <c r="M15" s="23">
        <v>4231816498</v>
      </c>
      <c r="N15" s="29" t="s">
        <v>30</v>
      </c>
      <c r="O15" s="29" t="s">
        <v>31</v>
      </c>
      <c r="P15" s="30" t="s">
        <v>54</v>
      </c>
      <c r="Q15" s="23"/>
      <c r="R15" s="38"/>
    </row>
    <row r="16" spans="1:19" ht="46">
      <c r="A16" s="118">
        <v>13</v>
      </c>
      <c r="B16" s="106">
        <v>120362</v>
      </c>
      <c r="C16" s="39" t="s">
        <v>55</v>
      </c>
      <c r="D16" s="39" t="s">
        <v>43</v>
      </c>
      <c r="E16" s="40" t="s">
        <v>46</v>
      </c>
      <c r="F16" s="22">
        <v>44183</v>
      </c>
      <c r="G16" s="24">
        <v>30475</v>
      </c>
      <c r="H16" s="25" t="str">
        <f t="shared" ca="1" si="0"/>
        <v>43Y</v>
      </c>
      <c r="I16" s="26" t="s">
        <v>28</v>
      </c>
      <c r="J16" s="26" t="s">
        <v>29</v>
      </c>
      <c r="K16" s="36">
        <v>3200400128350</v>
      </c>
      <c r="L16" s="37">
        <v>986326755</v>
      </c>
      <c r="M16" s="23">
        <v>4190450389</v>
      </c>
      <c r="N16" s="29" t="s">
        <v>30</v>
      </c>
      <c r="O16" s="29" t="s">
        <v>31</v>
      </c>
      <c r="P16" s="30" t="s">
        <v>37</v>
      </c>
      <c r="Q16" s="23"/>
      <c r="R16" s="38"/>
    </row>
    <row r="17" spans="1:19">
      <c r="A17" s="101">
        <v>14</v>
      </c>
      <c r="B17" s="106">
        <v>121300</v>
      </c>
      <c r="C17" s="39" t="s">
        <v>56</v>
      </c>
      <c r="D17" s="39" t="s">
        <v>27</v>
      </c>
      <c r="E17" s="40" t="s">
        <v>57</v>
      </c>
      <c r="F17" s="22">
        <v>46241</v>
      </c>
      <c r="G17" s="24">
        <v>27071</v>
      </c>
      <c r="H17" s="25" t="str">
        <f t="shared" ca="1" si="0"/>
        <v>52Y</v>
      </c>
      <c r="I17" s="26" t="s">
        <v>28</v>
      </c>
      <c r="J17" s="26" t="s">
        <v>29</v>
      </c>
      <c r="K17" s="36">
        <v>3770100574368</v>
      </c>
      <c r="L17" s="37">
        <v>656208279</v>
      </c>
      <c r="M17" s="23"/>
      <c r="N17" s="29"/>
      <c r="O17" s="29" t="s">
        <v>31</v>
      </c>
      <c r="P17" s="30"/>
      <c r="Q17" s="23"/>
      <c r="R17" s="38"/>
    </row>
    <row r="18" spans="1:19">
      <c r="A18" s="118">
        <v>15</v>
      </c>
      <c r="B18" s="106">
        <v>121099</v>
      </c>
      <c r="C18" s="39" t="s">
        <v>58</v>
      </c>
      <c r="D18" s="39" t="s">
        <v>27</v>
      </c>
      <c r="E18" s="40" t="s">
        <v>57</v>
      </c>
      <c r="F18" s="22">
        <v>46211</v>
      </c>
      <c r="G18" s="24">
        <v>31704</v>
      </c>
      <c r="H18" s="25" t="str">
        <f t="shared" ca="1" si="0"/>
        <v>40Y</v>
      </c>
      <c r="I18" s="26" t="s">
        <v>28</v>
      </c>
      <c r="J18" s="26" t="s">
        <v>29</v>
      </c>
      <c r="K18" s="36">
        <v>1101400827164</v>
      </c>
      <c r="L18" s="37">
        <v>910543428</v>
      </c>
      <c r="M18" s="23">
        <v>4262229347</v>
      </c>
      <c r="N18" s="29" t="s">
        <v>30</v>
      </c>
      <c r="O18" s="29" t="s">
        <v>31</v>
      </c>
      <c r="P18" s="30" t="s">
        <v>88</v>
      </c>
      <c r="Q18" s="23"/>
      <c r="R18" s="38" t="s">
        <v>59</v>
      </c>
    </row>
    <row r="19" spans="1:19">
      <c r="A19" s="101">
        <v>16</v>
      </c>
      <c r="B19" s="106">
        <v>121301</v>
      </c>
      <c r="C19" s="39" t="s">
        <v>60</v>
      </c>
      <c r="D19" s="39" t="s">
        <v>27</v>
      </c>
      <c r="E19" s="40" t="s">
        <v>57</v>
      </c>
      <c r="F19" s="22">
        <v>46244</v>
      </c>
      <c r="G19" s="24">
        <v>27999</v>
      </c>
      <c r="H19" s="25" t="str">
        <f t="shared" ca="1" si="0"/>
        <v>50Y</v>
      </c>
      <c r="I19" s="26" t="s">
        <v>28</v>
      </c>
      <c r="J19" s="26" t="s">
        <v>29</v>
      </c>
      <c r="K19" s="36">
        <v>3341200076917</v>
      </c>
      <c r="L19" s="37">
        <v>652790119</v>
      </c>
      <c r="M19" s="23">
        <v>6534237662</v>
      </c>
      <c r="N19" s="29" t="s">
        <v>30</v>
      </c>
      <c r="O19" s="29" t="s">
        <v>31</v>
      </c>
      <c r="P19" s="30" t="s">
        <v>32</v>
      </c>
      <c r="Q19" s="23"/>
      <c r="R19" s="38"/>
    </row>
    <row r="20" spans="1:19" ht="46">
      <c r="A20" s="118">
        <v>17</v>
      </c>
      <c r="B20" s="106">
        <v>110360</v>
      </c>
      <c r="C20" s="39" t="s">
        <v>61</v>
      </c>
      <c r="D20" s="39" t="s">
        <v>51</v>
      </c>
      <c r="E20" s="40" t="s">
        <v>57</v>
      </c>
      <c r="F20" s="22">
        <v>44187</v>
      </c>
      <c r="G20" s="24">
        <v>25198</v>
      </c>
      <c r="H20" s="25" t="str">
        <f t="shared" ca="1" si="0"/>
        <v>58Y</v>
      </c>
      <c r="I20" s="26" t="s">
        <v>22</v>
      </c>
      <c r="J20" s="26" t="s">
        <v>29</v>
      </c>
      <c r="K20" s="36">
        <v>3440900718791</v>
      </c>
      <c r="L20" s="37">
        <v>924057458</v>
      </c>
      <c r="M20" s="23">
        <v>9462604258</v>
      </c>
      <c r="N20" s="29" t="s">
        <v>30</v>
      </c>
      <c r="O20" s="29" t="s">
        <v>62</v>
      </c>
      <c r="P20" s="30"/>
      <c r="Q20" s="23"/>
      <c r="R20" s="38"/>
    </row>
    <row r="21" spans="1:19">
      <c r="A21" s="101">
        <v>18</v>
      </c>
      <c r="B21" s="106">
        <v>110738</v>
      </c>
      <c r="C21" s="41" t="s">
        <v>63</v>
      </c>
      <c r="D21" s="39" t="s">
        <v>51</v>
      </c>
      <c r="E21" s="40" t="s">
        <v>57</v>
      </c>
      <c r="F21" s="22">
        <v>45264</v>
      </c>
      <c r="G21" s="24">
        <v>28347</v>
      </c>
      <c r="H21" s="25" t="str">
        <f t="shared" ca="1" si="0"/>
        <v>49Y</v>
      </c>
      <c r="I21" s="26" t="s">
        <v>22</v>
      </c>
      <c r="J21" s="26" t="s">
        <v>29</v>
      </c>
      <c r="K21" s="36">
        <v>5130400019698</v>
      </c>
      <c r="L21" s="37">
        <v>956614270</v>
      </c>
      <c r="M21" s="23">
        <v>4311728280</v>
      </c>
      <c r="N21" s="29" t="s">
        <v>30</v>
      </c>
      <c r="O21" s="29" t="s">
        <v>31</v>
      </c>
      <c r="P21" s="30"/>
      <c r="Q21" s="23"/>
      <c r="R21" s="38"/>
    </row>
    <row r="22" spans="1:19" ht="46">
      <c r="A22" s="118">
        <v>19</v>
      </c>
      <c r="B22" s="106">
        <v>110932</v>
      </c>
      <c r="C22" s="39" t="s">
        <v>64</v>
      </c>
      <c r="D22" s="39" t="s">
        <v>51</v>
      </c>
      <c r="E22" s="40" t="s">
        <v>57</v>
      </c>
      <c r="F22" s="22">
        <v>45791</v>
      </c>
      <c r="G22" s="24">
        <v>23480</v>
      </c>
      <c r="H22" s="25" t="str">
        <f t="shared" ca="1" si="0"/>
        <v>62Y</v>
      </c>
      <c r="I22" s="26" t="s">
        <v>22</v>
      </c>
      <c r="J22" s="26" t="s">
        <v>29</v>
      </c>
      <c r="K22" s="36">
        <v>3320300231328</v>
      </c>
      <c r="L22" s="37">
        <v>879812549</v>
      </c>
      <c r="M22" s="23">
        <v>4292077435</v>
      </c>
      <c r="N22" s="29" t="s">
        <v>30</v>
      </c>
      <c r="O22" s="29" t="s">
        <v>62</v>
      </c>
      <c r="P22" s="30"/>
      <c r="Q22" s="23"/>
      <c r="R22" s="38"/>
    </row>
    <row r="23" spans="1:19">
      <c r="A23" s="101">
        <v>20</v>
      </c>
      <c r="B23" s="106">
        <v>120977</v>
      </c>
      <c r="C23" s="39" t="s">
        <v>367</v>
      </c>
      <c r="D23" s="39" t="s">
        <v>43</v>
      </c>
      <c r="E23" s="40" t="s">
        <v>57</v>
      </c>
      <c r="F23" s="22">
        <v>45966</v>
      </c>
      <c r="G23" s="24">
        <v>28454</v>
      </c>
      <c r="H23" s="25" t="str">
        <f t="shared" ca="1" si="0"/>
        <v>49Y</v>
      </c>
      <c r="I23" s="26" t="s">
        <v>28</v>
      </c>
      <c r="J23" s="26" t="s">
        <v>29</v>
      </c>
      <c r="K23" s="36">
        <v>3400500709379</v>
      </c>
      <c r="L23" s="37">
        <v>927397293</v>
      </c>
      <c r="M23" s="23">
        <v>4221851327</v>
      </c>
      <c r="N23" s="29" t="s">
        <v>30</v>
      </c>
      <c r="O23" s="29" t="s">
        <v>31</v>
      </c>
      <c r="P23" s="30"/>
      <c r="Q23" s="23"/>
      <c r="R23" s="38"/>
    </row>
    <row r="24" spans="1:19">
      <c r="A24" s="118">
        <v>21</v>
      </c>
      <c r="B24" s="106">
        <v>110669</v>
      </c>
      <c r="C24" s="39" t="s">
        <v>366</v>
      </c>
      <c r="D24" s="39" t="s">
        <v>65</v>
      </c>
      <c r="E24" s="40" t="s">
        <v>66</v>
      </c>
      <c r="F24" s="22">
        <v>45063</v>
      </c>
      <c r="G24" s="24">
        <v>27602</v>
      </c>
      <c r="H24" s="25" t="str">
        <f t="shared" ca="1" si="0"/>
        <v>51Y</v>
      </c>
      <c r="I24" s="26" t="s">
        <v>22</v>
      </c>
      <c r="J24" s="26" t="s">
        <v>29</v>
      </c>
      <c r="K24" s="36">
        <v>3251200803194</v>
      </c>
      <c r="L24" s="37">
        <v>983739741</v>
      </c>
      <c r="M24" s="23">
        <v>8322592503</v>
      </c>
      <c r="N24" s="29" t="s">
        <v>30</v>
      </c>
      <c r="O24" s="29" t="s">
        <v>31</v>
      </c>
      <c r="P24" s="30" t="s">
        <v>54</v>
      </c>
      <c r="Q24" s="23"/>
      <c r="R24" s="38"/>
    </row>
    <row r="25" spans="1:19" ht="46">
      <c r="A25" s="101">
        <v>22</v>
      </c>
      <c r="B25" s="106">
        <v>120603</v>
      </c>
      <c r="C25" s="39" t="s">
        <v>67</v>
      </c>
      <c r="D25" s="39" t="s">
        <v>27</v>
      </c>
      <c r="E25" s="40" t="s">
        <v>66</v>
      </c>
      <c r="F25" s="22">
        <v>44944</v>
      </c>
      <c r="G25" s="24">
        <v>22439</v>
      </c>
      <c r="H25" s="25" t="str">
        <f t="shared" ca="1" si="0"/>
        <v>65Y</v>
      </c>
      <c r="I25" s="26" t="s">
        <v>28</v>
      </c>
      <c r="J25" s="26" t="s">
        <v>29</v>
      </c>
      <c r="K25" s="36">
        <v>3401500489159</v>
      </c>
      <c r="L25" s="37">
        <v>621861941</v>
      </c>
      <c r="M25" s="23">
        <v>4096271176</v>
      </c>
      <c r="N25" s="29" t="s">
        <v>30</v>
      </c>
      <c r="O25" s="29" t="s">
        <v>62</v>
      </c>
      <c r="P25" s="30"/>
      <c r="Q25" s="23"/>
      <c r="R25" s="38"/>
    </row>
    <row r="26" spans="1:19" ht="46">
      <c r="A26" s="118">
        <v>23</v>
      </c>
      <c r="B26" s="106">
        <v>120918</v>
      </c>
      <c r="C26" s="39" t="s">
        <v>68</v>
      </c>
      <c r="D26" s="39" t="s">
        <v>27</v>
      </c>
      <c r="E26" s="40" t="s">
        <v>66</v>
      </c>
      <c r="F26" s="22">
        <v>45720</v>
      </c>
      <c r="G26" s="24">
        <v>29990</v>
      </c>
      <c r="H26" s="25" t="str">
        <f t="shared" ca="1" si="0"/>
        <v>44Y</v>
      </c>
      <c r="I26" s="26" t="s">
        <v>28</v>
      </c>
      <c r="J26" s="26" t="s">
        <v>29</v>
      </c>
      <c r="K26" s="36">
        <v>3360800029803</v>
      </c>
      <c r="L26" s="37" t="s">
        <v>69</v>
      </c>
      <c r="M26" s="23">
        <v>4054016926</v>
      </c>
      <c r="N26" s="29" t="s">
        <v>30</v>
      </c>
      <c r="O26" s="29" t="s">
        <v>31</v>
      </c>
      <c r="P26" s="30" t="s">
        <v>37</v>
      </c>
      <c r="Q26" s="23"/>
      <c r="R26" s="38"/>
    </row>
    <row r="27" spans="1:19" ht="46">
      <c r="A27" s="101">
        <v>24</v>
      </c>
      <c r="B27" s="106">
        <v>110367</v>
      </c>
      <c r="C27" s="39" t="s">
        <v>70</v>
      </c>
      <c r="D27" s="39" t="s">
        <v>51</v>
      </c>
      <c r="E27" s="40" t="s">
        <v>66</v>
      </c>
      <c r="F27" s="22">
        <v>44179</v>
      </c>
      <c r="G27" s="24">
        <v>23526</v>
      </c>
      <c r="H27" s="25" t="str">
        <f t="shared" ca="1" si="0"/>
        <v>62Y</v>
      </c>
      <c r="I27" s="26" t="s">
        <v>22</v>
      </c>
      <c r="J27" s="26" t="s">
        <v>29</v>
      </c>
      <c r="K27" s="36">
        <v>3401000572367</v>
      </c>
      <c r="L27" s="37">
        <v>928654891</v>
      </c>
      <c r="M27" s="23">
        <v>8702314321</v>
      </c>
      <c r="N27" s="29" t="s">
        <v>30</v>
      </c>
      <c r="O27" s="29" t="s">
        <v>62</v>
      </c>
      <c r="P27" s="30"/>
      <c r="Q27" s="23"/>
      <c r="R27" s="38"/>
    </row>
    <row r="28" spans="1:19" ht="46">
      <c r="A28" s="118">
        <v>25</v>
      </c>
      <c r="B28" s="106">
        <v>120630</v>
      </c>
      <c r="C28" s="39" t="s">
        <v>71</v>
      </c>
      <c r="D28" s="39" t="s">
        <v>43</v>
      </c>
      <c r="E28" s="40" t="s">
        <v>66</v>
      </c>
      <c r="F28" s="22">
        <v>44992</v>
      </c>
      <c r="G28" s="24">
        <v>32258</v>
      </c>
      <c r="H28" s="25" t="str">
        <f t="shared" ca="1" si="0"/>
        <v>38Y</v>
      </c>
      <c r="I28" s="26" t="s">
        <v>28</v>
      </c>
      <c r="J28" s="26" t="s">
        <v>29</v>
      </c>
      <c r="K28" s="36">
        <v>1400500100785</v>
      </c>
      <c r="L28" s="37">
        <v>625413997</v>
      </c>
      <c r="M28" s="23">
        <v>8322900837</v>
      </c>
      <c r="N28" s="29" t="s">
        <v>30</v>
      </c>
      <c r="O28" s="29" t="s">
        <v>31</v>
      </c>
      <c r="P28" s="30" t="s">
        <v>37</v>
      </c>
      <c r="Q28" s="23"/>
      <c r="R28" s="38"/>
    </row>
    <row r="29" spans="1:19">
      <c r="A29" s="101">
        <v>26</v>
      </c>
      <c r="B29" s="106">
        <v>110947</v>
      </c>
      <c r="C29" s="39" t="s">
        <v>72</v>
      </c>
      <c r="D29" s="39" t="s">
        <v>65</v>
      </c>
      <c r="E29" s="40" t="s">
        <v>73</v>
      </c>
      <c r="F29" s="22">
        <v>45876</v>
      </c>
      <c r="G29" s="24">
        <v>34245</v>
      </c>
      <c r="H29" s="25" t="str">
        <f t="shared" ca="1" si="0"/>
        <v>33Y</v>
      </c>
      <c r="I29" s="26" t="s">
        <v>22</v>
      </c>
      <c r="J29" s="26" t="s">
        <v>29</v>
      </c>
      <c r="K29" s="36">
        <v>1801300204771</v>
      </c>
      <c r="L29" s="37">
        <v>805195657</v>
      </c>
      <c r="M29" s="23">
        <v>8242249468</v>
      </c>
      <c r="N29" s="29" t="s">
        <v>30</v>
      </c>
      <c r="O29" s="29" t="s">
        <v>31</v>
      </c>
      <c r="P29" s="30"/>
      <c r="Q29" s="23"/>
      <c r="R29" s="38"/>
    </row>
    <row r="30" spans="1:19" ht="46">
      <c r="A30" s="118">
        <v>27</v>
      </c>
      <c r="B30" s="99">
        <v>220804</v>
      </c>
      <c r="C30" s="42" t="s">
        <v>74</v>
      </c>
      <c r="D30" s="42" t="s">
        <v>27</v>
      </c>
      <c r="E30" s="43" t="s">
        <v>73</v>
      </c>
      <c r="F30" s="22"/>
      <c r="G30" s="24">
        <v>44211</v>
      </c>
      <c r="H30" s="25" t="str">
        <f t="shared" ca="1" si="0"/>
        <v>5Y</v>
      </c>
      <c r="I30" s="26" t="s">
        <v>28</v>
      </c>
      <c r="J30" s="26" t="s">
        <v>23</v>
      </c>
      <c r="K30" s="36">
        <v>10051622181</v>
      </c>
      <c r="L30" s="37">
        <v>615048360</v>
      </c>
      <c r="M30" s="23"/>
      <c r="N30" s="29"/>
      <c r="O30" s="29" t="s">
        <v>25</v>
      </c>
      <c r="P30" s="30"/>
      <c r="Q30" s="23"/>
      <c r="R30" s="38"/>
    </row>
    <row r="31" spans="1:19" ht="46">
      <c r="A31" s="101">
        <v>28</v>
      </c>
      <c r="B31" s="106">
        <v>120826</v>
      </c>
      <c r="C31" s="39" t="s">
        <v>75</v>
      </c>
      <c r="D31" s="39" t="s">
        <v>27</v>
      </c>
      <c r="E31" s="40" t="s">
        <v>73</v>
      </c>
      <c r="F31" s="22">
        <v>45460</v>
      </c>
      <c r="G31" s="24">
        <v>20821</v>
      </c>
      <c r="H31" s="25" t="str">
        <f t="shared" ca="1" si="0"/>
        <v>69Y</v>
      </c>
      <c r="I31" s="26" t="s">
        <v>28</v>
      </c>
      <c r="J31" s="26" t="s">
        <v>29</v>
      </c>
      <c r="K31" s="36">
        <v>3210600236229</v>
      </c>
      <c r="L31" s="37">
        <v>820793834</v>
      </c>
      <c r="M31" s="23">
        <v>8942637482</v>
      </c>
      <c r="N31" s="29" t="s">
        <v>30</v>
      </c>
      <c r="O31" s="29" t="s">
        <v>62</v>
      </c>
      <c r="P31" s="30"/>
      <c r="Q31" s="23"/>
      <c r="R31" s="38"/>
    </row>
    <row r="32" spans="1:19">
      <c r="A32" s="118">
        <v>29</v>
      </c>
      <c r="B32" s="106">
        <v>110883</v>
      </c>
      <c r="C32" s="44" t="s">
        <v>76</v>
      </c>
      <c r="D32" s="23" t="s">
        <v>65</v>
      </c>
      <c r="E32" s="26" t="s">
        <v>77</v>
      </c>
      <c r="F32" s="45">
        <v>45575</v>
      </c>
      <c r="G32" s="24">
        <v>30629</v>
      </c>
      <c r="H32" s="25" t="str">
        <f t="shared" ca="1" si="0"/>
        <v>43Y</v>
      </c>
      <c r="I32" s="26" t="s">
        <v>22</v>
      </c>
      <c r="J32" s="26" t="s">
        <v>29</v>
      </c>
      <c r="K32" s="36">
        <v>3470700095676</v>
      </c>
      <c r="L32" s="37">
        <v>808096073</v>
      </c>
      <c r="M32" s="23">
        <v>9912732373</v>
      </c>
      <c r="N32" s="29" t="s">
        <v>30</v>
      </c>
      <c r="O32" s="29" t="s">
        <v>31</v>
      </c>
      <c r="P32" s="30" t="s">
        <v>54</v>
      </c>
      <c r="Q32" s="23"/>
      <c r="R32" s="38" t="s">
        <v>78</v>
      </c>
      <c r="S32" s="32"/>
    </row>
    <row r="33" spans="1:19" ht="46">
      <c r="A33" s="101">
        <v>30</v>
      </c>
      <c r="B33" s="106">
        <v>121072</v>
      </c>
      <c r="C33" s="44" t="s">
        <v>79</v>
      </c>
      <c r="D33" s="23" t="s">
        <v>27</v>
      </c>
      <c r="E33" s="26" t="s">
        <v>77</v>
      </c>
      <c r="F33" s="45">
        <v>46133</v>
      </c>
      <c r="G33" s="24">
        <v>30833</v>
      </c>
      <c r="H33" s="25" t="str">
        <f t="shared" ca="1" si="0"/>
        <v>42Y</v>
      </c>
      <c r="I33" s="26" t="s">
        <v>28</v>
      </c>
      <c r="J33" s="26" t="s">
        <v>29</v>
      </c>
      <c r="K33" s="36">
        <v>1400900021599</v>
      </c>
      <c r="L33" s="37">
        <v>909624234</v>
      </c>
      <c r="M33" s="23">
        <v>4352348035</v>
      </c>
      <c r="N33" s="29" t="s">
        <v>30</v>
      </c>
      <c r="O33" s="29" t="s">
        <v>31</v>
      </c>
      <c r="P33" s="30" t="s">
        <v>32</v>
      </c>
      <c r="Q33" s="23" t="s">
        <v>80</v>
      </c>
      <c r="R33" s="38" t="s">
        <v>81</v>
      </c>
      <c r="S33" s="32"/>
    </row>
    <row r="34" spans="1:19">
      <c r="A34" s="118">
        <v>31</v>
      </c>
      <c r="B34" s="106">
        <v>120450</v>
      </c>
      <c r="C34" s="44" t="s">
        <v>82</v>
      </c>
      <c r="D34" s="23" t="s">
        <v>27</v>
      </c>
      <c r="E34" s="23" t="s">
        <v>77</v>
      </c>
      <c r="F34" s="45">
        <v>44538</v>
      </c>
      <c r="G34" s="24">
        <v>29897</v>
      </c>
      <c r="H34" s="25" t="str">
        <f t="shared" ca="1" si="0"/>
        <v>45Y</v>
      </c>
      <c r="I34" s="26" t="s">
        <v>28</v>
      </c>
      <c r="J34" s="26" t="s">
        <v>29</v>
      </c>
      <c r="K34" s="36">
        <v>3360300135442</v>
      </c>
      <c r="L34" s="37">
        <v>926073549</v>
      </c>
      <c r="M34" s="23">
        <v>8942592349</v>
      </c>
      <c r="N34" s="29" t="s">
        <v>30</v>
      </c>
      <c r="O34" s="29" t="s">
        <v>31</v>
      </c>
      <c r="P34" s="30" t="s">
        <v>44</v>
      </c>
      <c r="Q34" s="23"/>
      <c r="R34" s="38" t="s">
        <v>83</v>
      </c>
      <c r="S34" s="32"/>
    </row>
    <row r="35" spans="1:19">
      <c r="A35" s="101">
        <v>32</v>
      </c>
      <c r="B35" s="106">
        <v>121200</v>
      </c>
      <c r="C35" s="44" t="s">
        <v>84</v>
      </c>
      <c r="D35" s="23" t="s">
        <v>27</v>
      </c>
      <c r="E35" s="23" t="s">
        <v>77</v>
      </c>
      <c r="F35" s="45">
        <v>46206</v>
      </c>
      <c r="G35" s="24">
        <v>25784</v>
      </c>
      <c r="H35" s="25" t="str">
        <f t="shared" ca="1" si="0"/>
        <v>56Y</v>
      </c>
      <c r="I35" s="26" t="s">
        <v>28</v>
      </c>
      <c r="J35" s="26" t="s">
        <v>29</v>
      </c>
      <c r="K35" s="36">
        <v>3331200161191</v>
      </c>
      <c r="L35" s="37">
        <v>803384969</v>
      </c>
      <c r="M35" s="23">
        <v>9912553410</v>
      </c>
      <c r="N35" s="29" t="s">
        <v>30</v>
      </c>
      <c r="O35" s="29" t="s">
        <v>31</v>
      </c>
      <c r="P35" s="30" t="s">
        <v>44</v>
      </c>
      <c r="Q35" s="23"/>
      <c r="R35" s="38" t="s">
        <v>85</v>
      </c>
      <c r="S35" s="32"/>
    </row>
    <row r="36" spans="1:19">
      <c r="A36" s="118">
        <v>33</v>
      </c>
      <c r="B36" s="106">
        <v>120116</v>
      </c>
      <c r="C36" s="38" t="s">
        <v>86</v>
      </c>
      <c r="D36" s="23" t="s">
        <v>87</v>
      </c>
      <c r="E36" s="23" t="s">
        <v>77</v>
      </c>
      <c r="F36" s="45">
        <v>42913</v>
      </c>
      <c r="G36" s="24">
        <v>30938</v>
      </c>
      <c r="H36" s="25" t="str">
        <f t="shared" ca="1" si="0"/>
        <v>42Y</v>
      </c>
      <c r="I36" s="26" t="s">
        <v>28</v>
      </c>
      <c r="J36" s="26" t="s">
        <v>29</v>
      </c>
      <c r="K36" s="36">
        <v>1460300011720</v>
      </c>
      <c r="L36" s="37">
        <v>961389329</v>
      </c>
      <c r="M36" s="23">
        <v>4081831151</v>
      </c>
      <c r="N36" s="29" t="s">
        <v>30</v>
      </c>
      <c r="O36" s="29" t="s">
        <v>31</v>
      </c>
      <c r="P36" s="30" t="s">
        <v>88</v>
      </c>
      <c r="Q36" s="23" t="s">
        <v>80</v>
      </c>
      <c r="R36" s="38" t="s">
        <v>89</v>
      </c>
    </row>
    <row r="37" spans="1:19">
      <c r="A37" s="101">
        <v>34</v>
      </c>
      <c r="B37" s="106">
        <v>110320</v>
      </c>
      <c r="C37" s="39" t="s">
        <v>90</v>
      </c>
      <c r="D37" s="39" t="s">
        <v>20</v>
      </c>
      <c r="E37" s="40" t="s">
        <v>91</v>
      </c>
      <c r="F37" s="22">
        <v>43969</v>
      </c>
      <c r="G37" s="24">
        <v>24681</v>
      </c>
      <c r="H37" s="25" t="str">
        <f t="shared" ca="1" si="0"/>
        <v>59Y</v>
      </c>
      <c r="I37" s="26" t="s">
        <v>22</v>
      </c>
      <c r="J37" s="26" t="s">
        <v>29</v>
      </c>
      <c r="K37" s="36">
        <v>3620500603684</v>
      </c>
      <c r="L37" s="37">
        <v>982223051</v>
      </c>
      <c r="M37" s="23">
        <v>4270736396</v>
      </c>
      <c r="N37" s="29" t="s">
        <v>30</v>
      </c>
      <c r="O37" s="29" t="s">
        <v>31</v>
      </c>
      <c r="P37" s="30"/>
      <c r="Q37" s="23"/>
      <c r="R37" s="38"/>
    </row>
    <row r="38" spans="1:19">
      <c r="A38" s="118">
        <v>35</v>
      </c>
      <c r="B38" s="106">
        <v>121063</v>
      </c>
      <c r="C38" s="39" t="s">
        <v>372</v>
      </c>
      <c r="D38" s="39" t="s">
        <v>27</v>
      </c>
      <c r="E38" s="40" t="s">
        <v>91</v>
      </c>
      <c r="F38" s="22"/>
      <c r="G38" s="24">
        <v>28914</v>
      </c>
      <c r="H38" s="25" t="str">
        <f t="shared" ca="1" si="0"/>
        <v>47Y</v>
      </c>
      <c r="I38" s="26" t="s">
        <v>28</v>
      </c>
      <c r="J38" s="26" t="s">
        <v>29</v>
      </c>
      <c r="K38" s="36">
        <v>3310101387948</v>
      </c>
      <c r="L38" s="37">
        <v>618730436</v>
      </c>
      <c r="M38" s="23">
        <v>4300926992</v>
      </c>
      <c r="N38" s="29" t="s">
        <v>30</v>
      </c>
      <c r="O38" s="29" t="s">
        <v>31</v>
      </c>
      <c r="P38" s="30"/>
      <c r="Q38" s="23"/>
      <c r="R38" s="38"/>
    </row>
    <row r="39" spans="1:19">
      <c r="A39" s="101">
        <v>36</v>
      </c>
      <c r="B39" s="106">
        <v>120162</v>
      </c>
      <c r="C39" s="39" t="s">
        <v>92</v>
      </c>
      <c r="D39" s="39" t="s">
        <v>27</v>
      </c>
      <c r="E39" s="40" t="s">
        <v>91</v>
      </c>
      <c r="F39" s="22">
        <v>43615</v>
      </c>
      <c r="G39" s="24">
        <v>26669</v>
      </c>
      <c r="H39" s="25" t="str">
        <f t="shared" ca="1" si="0"/>
        <v>53Y</v>
      </c>
      <c r="I39" s="26" t="s">
        <v>28</v>
      </c>
      <c r="J39" s="26" t="s">
        <v>29</v>
      </c>
      <c r="K39" s="36">
        <v>3410400065224</v>
      </c>
      <c r="L39" s="37">
        <v>625431676</v>
      </c>
      <c r="M39" s="23">
        <v>4150404409</v>
      </c>
      <c r="N39" s="29" t="s">
        <v>30</v>
      </c>
      <c r="O39" s="29" t="s">
        <v>31</v>
      </c>
      <c r="P39" s="30"/>
      <c r="Q39" s="23"/>
      <c r="R39" s="38"/>
    </row>
    <row r="40" spans="1:19">
      <c r="A40" s="118">
        <v>37</v>
      </c>
      <c r="B40" s="106">
        <v>120967</v>
      </c>
      <c r="C40" s="39" t="s">
        <v>93</v>
      </c>
      <c r="D40" s="39" t="s">
        <v>27</v>
      </c>
      <c r="E40" s="40" t="s">
        <v>91</v>
      </c>
      <c r="F40" s="22">
        <v>45918</v>
      </c>
      <c r="G40" s="24">
        <v>34697</v>
      </c>
      <c r="H40" s="25" t="str">
        <f t="shared" ca="1" si="0"/>
        <v>32Y</v>
      </c>
      <c r="I40" s="26" t="s">
        <v>28</v>
      </c>
      <c r="J40" s="26" t="s">
        <v>29</v>
      </c>
      <c r="K40" s="36">
        <v>1319900411094</v>
      </c>
      <c r="L40" s="37">
        <v>622837367</v>
      </c>
      <c r="M40" s="23">
        <v>4312115278</v>
      </c>
      <c r="N40" s="29" t="s">
        <v>30</v>
      </c>
      <c r="O40" s="29" t="s">
        <v>31</v>
      </c>
      <c r="P40" s="30"/>
      <c r="Q40" s="23"/>
      <c r="R40" s="38"/>
    </row>
    <row r="41" spans="1:19">
      <c r="A41" s="101">
        <v>38</v>
      </c>
      <c r="B41" s="106">
        <v>121048</v>
      </c>
      <c r="C41" s="39" t="s">
        <v>94</v>
      </c>
      <c r="D41" s="39" t="s">
        <v>27</v>
      </c>
      <c r="E41" s="40" t="s">
        <v>91</v>
      </c>
      <c r="F41" s="22">
        <v>46078</v>
      </c>
      <c r="G41" s="24">
        <v>25892</v>
      </c>
      <c r="H41" s="25" t="str">
        <f t="shared" ca="1" si="0"/>
        <v>56Y</v>
      </c>
      <c r="I41" s="26" t="s">
        <v>28</v>
      </c>
      <c r="J41" s="26" t="s">
        <v>29</v>
      </c>
      <c r="K41" s="36">
        <v>3670800347039</v>
      </c>
      <c r="L41" s="37">
        <v>626524206</v>
      </c>
      <c r="M41" s="23">
        <v>4252316722</v>
      </c>
      <c r="N41" s="29" t="s">
        <v>30</v>
      </c>
      <c r="O41" s="29" t="s">
        <v>31</v>
      </c>
      <c r="P41" s="30"/>
      <c r="Q41" s="23"/>
      <c r="R41" s="38"/>
    </row>
    <row r="42" spans="1:19">
      <c r="A42" s="118">
        <v>39</v>
      </c>
      <c r="B42" s="106">
        <v>121302</v>
      </c>
      <c r="C42" s="39" t="s">
        <v>95</v>
      </c>
      <c r="D42" s="39" t="s">
        <v>27</v>
      </c>
      <c r="E42" s="40" t="s">
        <v>91</v>
      </c>
      <c r="F42" s="22">
        <v>46252</v>
      </c>
      <c r="G42" s="24">
        <v>28097</v>
      </c>
      <c r="H42" s="25" t="str">
        <f t="shared" ca="1" si="0"/>
        <v>50Y</v>
      </c>
      <c r="I42" s="26" t="s">
        <v>28</v>
      </c>
      <c r="J42" s="26" t="s">
        <v>29</v>
      </c>
      <c r="K42" s="36">
        <v>3470900106230</v>
      </c>
      <c r="L42" s="37">
        <v>953324161</v>
      </c>
      <c r="M42" s="23"/>
      <c r="N42" s="29"/>
      <c r="O42" s="29" t="s">
        <v>31</v>
      </c>
      <c r="P42" s="30"/>
      <c r="Q42" s="23"/>
      <c r="R42" s="38"/>
    </row>
    <row r="43" spans="1:19" ht="46.5" customHeight="1">
      <c r="A43" s="101">
        <v>40</v>
      </c>
      <c r="B43" s="106">
        <v>110792</v>
      </c>
      <c r="C43" s="41" t="s">
        <v>96</v>
      </c>
      <c r="D43" s="39" t="s">
        <v>65</v>
      </c>
      <c r="E43" s="40" t="s">
        <v>97</v>
      </c>
      <c r="F43" s="22">
        <v>45372</v>
      </c>
      <c r="G43" s="24">
        <v>28563</v>
      </c>
      <c r="H43" s="25" t="str">
        <f t="shared" ref="H43" ca="1" si="1">YEAR(TODAY())-YEAR(G43)&amp;"Y"</f>
        <v>48Y</v>
      </c>
      <c r="I43" s="26" t="s">
        <v>22</v>
      </c>
      <c r="J43" s="26" t="s">
        <v>29</v>
      </c>
      <c r="K43" s="36">
        <v>3600700423868</v>
      </c>
      <c r="L43" s="37">
        <v>944206191</v>
      </c>
      <c r="M43" s="23">
        <v>4271904358</v>
      </c>
      <c r="N43" s="29" t="s">
        <v>30</v>
      </c>
      <c r="O43" s="29" t="s">
        <v>31</v>
      </c>
      <c r="P43" s="30"/>
      <c r="Q43" s="23"/>
      <c r="R43" s="38"/>
    </row>
  </sheetData>
  <autoFilter ref="A3:AA43" xr:uid="{0991C6F6-7993-4286-AF61-062A0E8BB18E}">
    <filterColumn colId="14" showButton="0"/>
  </autoFilter>
  <mergeCells count="1">
    <mergeCell ref="O3:P3"/>
  </mergeCells>
  <conditionalFormatting sqref="B10:B12">
    <cfRule type="duplicateValues" dxfId="34" priority="62"/>
  </conditionalFormatting>
  <conditionalFormatting sqref="B18">
    <cfRule type="duplicateValues" dxfId="33" priority="19"/>
    <cfRule type="duplicateValues" dxfId="32" priority="20"/>
  </conditionalFormatting>
  <conditionalFormatting sqref="B21">
    <cfRule type="duplicateValues" dxfId="31" priority="70"/>
    <cfRule type="duplicateValues" dxfId="30" priority="71"/>
    <cfRule type="duplicateValues" dxfId="29" priority="72"/>
    <cfRule type="duplicateValues" dxfId="28" priority="73"/>
  </conditionalFormatting>
  <conditionalFormatting sqref="B23:B25">
    <cfRule type="duplicateValues" dxfId="27" priority="95"/>
  </conditionalFormatting>
  <conditionalFormatting sqref="B26:B28">
    <cfRule type="duplicateValues" dxfId="26" priority="76"/>
    <cfRule type="duplicateValues" dxfId="25" priority="77"/>
  </conditionalFormatting>
  <conditionalFormatting sqref="B29">
    <cfRule type="duplicateValues" dxfId="24" priority="30"/>
    <cfRule type="duplicateValues" dxfId="23" priority="31"/>
    <cfRule type="duplicateValues" dxfId="22" priority="32"/>
    <cfRule type="duplicateValues" dxfId="21" priority="33"/>
  </conditionalFormatting>
  <conditionalFormatting sqref="B30">
    <cfRule type="duplicateValues" dxfId="20" priority="118"/>
    <cfRule type="duplicateValues" dxfId="19" priority="119"/>
  </conditionalFormatting>
  <conditionalFormatting sqref="B32">
    <cfRule type="duplicateValues" dxfId="18" priority="63"/>
    <cfRule type="duplicateValues" dxfId="17" priority="64"/>
  </conditionalFormatting>
  <conditionalFormatting sqref="B33">
    <cfRule type="duplicateValues" dxfId="16" priority="26"/>
    <cfRule type="duplicateValues" dxfId="15" priority="27"/>
  </conditionalFormatting>
  <conditionalFormatting sqref="C21">
    <cfRule type="duplicateValues" dxfId="14" priority="74"/>
    <cfRule type="duplicateValues" dxfId="13" priority="75"/>
  </conditionalFormatting>
  <conditionalFormatting sqref="C26:C28">
    <cfRule type="duplicateValues" dxfId="12" priority="78"/>
  </conditionalFormatting>
  <conditionalFormatting sqref="C29">
    <cfRule type="duplicateValues" dxfId="11" priority="34"/>
    <cfRule type="duplicateValues" dxfId="10" priority="35"/>
    <cfRule type="duplicateValues" dxfId="9" priority="36"/>
  </conditionalFormatting>
  <conditionalFormatting sqref="C30">
    <cfRule type="duplicateValues" dxfId="8" priority="15"/>
  </conditionalFormatting>
  <conditionalFormatting sqref="C32">
    <cfRule type="duplicateValues" dxfId="7" priority="65"/>
  </conditionalFormatting>
  <conditionalFormatting sqref="C33">
    <cfRule type="duplicateValues" dxfId="6" priority="28"/>
  </conditionalFormatting>
  <conditionalFormatting sqref="B22 B9 B31:B32 B13:B20 B34:B43">
    <cfRule type="duplicateValues" dxfId="5" priority="254"/>
  </conditionalFormatting>
  <conditionalFormatting sqref="B22 B19:B20 B31:B32 B13:B17 B34:B43">
    <cfRule type="duplicateValues" dxfId="4" priority="259"/>
  </conditionalFormatting>
  <conditionalFormatting sqref="B9:B43">
    <cfRule type="duplicateValues" dxfId="3" priority="264"/>
  </conditionalFormatting>
  <conditionalFormatting sqref="C31 C22 C13:C20 C34:C43">
    <cfRule type="duplicateValues" dxfId="2" priority="265"/>
  </conditionalFormatting>
  <conditionalFormatting sqref="C9:C43">
    <cfRule type="duplicateValues" dxfId="1" priority="269"/>
  </conditionalFormatting>
  <conditionalFormatting sqref="C30:C43 C9:C28">
    <cfRule type="duplicateValues" dxfId="0" priority="270"/>
  </conditionalFormatting>
  <dataValidations count="1">
    <dataValidation type="list" allowBlank="1" showInputMessage="1" showErrorMessage="1" sqref="J4:J43 N4:N43" xr:uid="{0C50B90D-DBF0-4BA8-8479-D4662C768535}">
      <formula1>#REF!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91E1-F9F5-4F70-B2D2-59B57EA949D1}">
  <dimension ref="A1:I41"/>
  <sheetViews>
    <sheetView topLeftCell="A13" workbookViewId="0">
      <selection activeCell="L12" sqref="L12:M12"/>
    </sheetView>
  </sheetViews>
  <sheetFormatPr defaultColWidth="9" defaultRowHeight="20.149999999999999" customHeight="1"/>
  <cols>
    <col min="1" max="1" width="5.453125" style="108" customWidth="1"/>
    <col min="2" max="2" width="11.1796875" style="72" customWidth="1"/>
    <col min="3" max="3" width="58.81640625" style="72" customWidth="1"/>
    <col min="4" max="4" width="42.7265625" style="72" customWidth="1"/>
    <col min="5" max="5" width="12.7265625" style="72" customWidth="1"/>
    <col min="6" max="9" width="8" style="97" customWidth="1"/>
    <col min="10" max="16384" width="9" style="72"/>
  </cols>
  <sheetData>
    <row r="1" spans="1:9" ht="20.149999999999999" customHeight="1">
      <c r="F1" s="143" t="s">
        <v>342</v>
      </c>
      <c r="G1" s="143"/>
      <c r="H1" s="143"/>
      <c r="I1" s="143"/>
    </row>
    <row r="2" spans="1:9" ht="20.149999999999999" customHeight="1">
      <c r="A2" s="120" t="s">
        <v>304</v>
      </c>
      <c r="B2" s="121" t="s">
        <v>305</v>
      </c>
      <c r="C2" s="122" t="s">
        <v>306</v>
      </c>
      <c r="D2" s="123" t="s">
        <v>330</v>
      </c>
      <c r="E2" s="97"/>
      <c r="F2" s="119" t="s">
        <v>304</v>
      </c>
      <c r="G2" s="97" t="s">
        <v>11</v>
      </c>
      <c r="H2" s="119" t="s">
        <v>304</v>
      </c>
      <c r="I2" s="97" t="s">
        <v>10</v>
      </c>
    </row>
    <row r="3" spans="1:9" ht="20.149999999999999" customHeight="1">
      <c r="A3" s="107">
        <v>1031</v>
      </c>
      <c r="B3" s="76" t="s">
        <v>221</v>
      </c>
      <c r="C3" s="98" t="s">
        <v>347</v>
      </c>
      <c r="D3" s="111" t="s">
        <v>346</v>
      </c>
      <c r="F3" s="119">
        <v>1</v>
      </c>
      <c r="G3" s="97" t="s">
        <v>29</v>
      </c>
      <c r="H3" s="119">
        <v>1</v>
      </c>
      <c r="I3" s="97" t="s">
        <v>22</v>
      </c>
    </row>
    <row r="4" spans="1:9" ht="20.149999999999999" customHeight="1">
      <c r="A4" s="107">
        <v>9015</v>
      </c>
      <c r="B4" s="76" t="s">
        <v>166</v>
      </c>
      <c r="C4" s="98" t="s">
        <v>348</v>
      </c>
      <c r="D4" s="75" t="s">
        <v>345</v>
      </c>
      <c r="F4" s="119">
        <v>2</v>
      </c>
      <c r="G4" s="97" t="s">
        <v>23</v>
      </c>
      <c r="H4" s="119">
        <v>2</v>
      </c>
      <c r="I4" s="97" t="s">
        <v>28</v>
      </c>
    </row>
    <row r="5" spans="1:9" ht="20.149999999999999" customHeight="1">
      <c r="A5" s="107">
        <v>6032</v>
      </c>
      <c r="B5" s="76" t="s">
        <v>223</v>
      </c>
      <c r="C5" s="98" t="s">
        <v>349</v>
      </c>
      <c r="D5" s="75" t="s">
        <v>321</v>
      </c>
      <c r="F5" s="119">
        <v>3</v>
      </c>
      <c r="G5" s="97" t="s">
        <v>139</v>
      </c>
    </row>
    <row r="6" spans="1:9" ht="20.149999999999999" customHeight="1">
      <c r="A6" s="107">
        <v>7029</v>
      </c>
      <c r="B6" s="76" t="s">
        <v>217</v>
      </c>
      <c r="C6" s="98" t="s">
        <v>350</v>
      </c>
      <c r="D6" s="75" t="s">
        <v>322</v>
      </c>
      <c r="F6" s="119">
        <v>4</v>
      </c>
      <c r="G6" s="97" t="s">
        <v>173</v>
      </c>
    </row>
    <row r="7" spans="1:9" ht="20.149999999999999" customHeight="1">
      <c r="A7" s="107">
        <v>8035</v>
      </c>
      <c r="B7" s="116" t="s">
        <v>229</v>
      </c>
      <c r="C7" s="98" t="s">
        <v>323</v>
      </c>
      <c r="D7" s="75" t="s">
        <v>324</v>
      </c>
    </row>
    <row r="8" spans="1:9" ht="20.149999999999999" customHeight="1">
      <c r="A8" s="107">
        <v>5026</v>
      </c>
      <c r="B8" s="76" t="s">
        <v>210</v>
      </c>
      <c r="C8" s="98" t="s">
        <v>327</v>
      </c>
      <c r="D8" s="75" t="s">
        <v>326</v>
      </c>
    </row>
    <row r="9" spans="1:9" ht="20.149999999999999" customHeight="1">
      <c r="A9" s="107">
        <v>5027</v>
      </c>
      <c r="B9" s="76" t="s">
        <v>213</v>
      </c>
      <c r="C9" s="98" t="s">
        <v>325</v>
      </c>
      <c r="D9" s="75" t="s">
        <v>326</v>
      </c>
    </row>
    <row r="10" spans="1:9" ht="20.149999999999999" customHeight="1">
      <c r="A10" s="107">
        <v>5028</v>
      </c>
      <c r="B10" s="76" t="s">
        <v>215</v>
      </c>
      <c r="C10" s="98" t="s">
        <v>328</v>
      </c>
      <c r="D10" s="75" t="s">
        <v>326</v>
      </c>
    </row>
    <row r="11" spans="1:9" ht="20.149999999999999" customHeight="1">
      <c r="A11" s="107">
        <v>3001</v>
      </c>
      <c r="B11" s="76" t="s">
        <v>21</v>
      </c>
      <c r="C11" s="33" t="s">
        <v>294</v>
      </c>
      <c r="D11" s="75" t="s">
        <v>317</v>
      </c>
    </row>
    <row r="12" spans="1:9" ht="20.149999999999999" customHeight="1">
      <c r="A12" s="107">
        <v>3125</v>
      </c>
      <c r="B12" s="115" t="s">
        <v>208</v>
      </c>
      <c r="C12" s="98" t="s">
        <v>351</v>
      </c>
      <c r="D12" s="75" t="s">
        <v>317</v>
      </c>
    </row>
    <row r="13" spans="1:9" ht="20.149999999999999" customHeight="1">
      <c r="A13" s="107">
        <v>2002</v>
      </c>
      <c r="B13" s="76" t="s">
        <v>46</v>
      </c>
      <c r="C13" s="98" t="s">
        <v>352</v>
      </c>
      <c r="D13" s="75" t="s">
        <v>319</v>
      </c>
    </row>
    <row r="14" spans="1:9" ht="20.149999999999999" customHeight="1">
      <c r="A14" s="107">
        <v>2003</v>
      </c>
      <c r="B14" s="76" t="s">
        <v>57</v>
      </c>
      <c r="C14" s="98" t="s">
        <v>353</v>
      </c>
      <c r="D14" s="75" t="s">
        <v>319</v>
      </c>
    </row>
    <row r="15" spans="1:9" ht="20.149999999999999" customHeight="1">
      <c r="A15" s="107">
        <v>2004</v>
      </c>
      <c r="B15" s="76" t="s">
        <v>66</v>
      </c>
      <c r="C15" s="98" t="s">
        <v>354</v>
      </c>
      <c r="D15" s="75" t="s">
        <v>319</v>
      </c>
    </row>
    <row r="16" spans="1:9" ht="20.149999999999999" customHeight="1">
      <c r="A16" s="107">
        <v>2034</v>
      </c>
      <c r="B16" s="76" t="s">
        <v>227</v>
      </c>
      <c r="C16" s="98" t="s">
        <v>355</v>
      </c>
      <c r="D16" s="75" t="s">
        <v>319</v>
      </c>
    </row>
    <row r="17" spans="1:7" ht="20.149999999999999" customHeight="1">
      <c r="A17" s="107">
        <v>2036</v>
      </c>
      <c r="B17" s="76" t="s">
        <v>231</v>
      </c>
      <c r="C17" s="98" t="s">
        <v>356</v>
      </c>
      <c r="D17" s="75" t="s">
        <v>319</v>
      </c>
    </row>
    <row r="18" spans="1:7" ht="20.149999999999999" customHeight="1">
      <c r="A18" s="107">
        <v>1005</v>
      </c>
      <c r="B18" s="76" t="s">
        <v>73</v>
      </c>
      <c r="C18" s="98" t="s">
        <v>296</v>
      </c>
      <c r="D18" s="75" t="s">
        <v>318</v>
      </c>
      <c r="F18" s="112">
        <v>1</v>
      </c>
      <c r="G18" s="113" t="s">
        <v>318</v>
      </c>
    </row>
    <row r="19" spans="1:7" ht="20.149999999999999" customHeight="1">
      <c r="A19" s="107">
        <v>1006</v>
      </c>
      <c r="B19" s="77" t="s">
        <v>77</v>
      </c>
      <c r="C19" s="98" t="s">
        <v>295</v>
      </c>
      <c r="D19" s="75" t="s">
        <v>318</v>
      </c>
      <c r="F19" s="112">
        <v>2</v>
      </c>
      <c r="G19" s="113" t="s">
        <v>319</v>
      </c>
    </row>
    <row r="20" spans="1:7" ht="20.149999999999999" customHeight="1">
      <c r="A20" s="107">
        <v>1007</v>
      </c>
      <c r="B20" s="76" t="s">
        <v>91</v>
      </c>
      <c r="C20" s="98" t="s">
        <v>297</v>
      </c>
      <c r="D20" s="75" t="s">
        <v>318</v>
      </c>
      <c r="F20" s="112">
        <v>3</v>
      </c>
      <c r="G20" s="113" t="s">
        <v>317</v>
      </c>
    </row>
    <row r="21" spans="1:7" ht="20.149999999999999" customHeight="1">
      <c r="A21" s="107">
        <v>1008</v>
      </c>
      <c r="B21" s="78" t="s">
        <v>97</v>
      </c>
      <c r="C21" s="98" t="s">
        <v>298</v>
      </c>
      <c r="D21" s="75" t="s">
        <v>318</v>
      </c>
      <c r="F21" s="112">
        <v>4</v>
      </c>
      <c r="G21" s="113" t="s">
        <v>329</v>
      </c>
    </row>
    <row r="22" spans="1:7" ht="20.149999999999999" customHeight="1">
      <c r="A22" s="107">
        <v>1009</v>
      </c>
      <c r="B22" s="78" t="s">
        <v>101</v>
      </c>
      <c r="C22" s="98" t="s">
        <v>299</v>
      </c>
      <c r="D22" s="75" t="s">
        <v>318</v>
      </c>
      <c r="F22" s="112">
        <v>5</v>
      </c>
      <c r="G22" s="113" t="s">
        <v>326</v>
      </c>
    </row>
    <row r="23" spans="1:7" ht="20.149999999999999" customHeight="1">
      <c r="A23" s="107">
        <v>1010</v>
      </c>
      <c r="B23" s="78" t="s">
        <v>105</v>
      </c>
      <c r="C23" s="98" t="s">
        <v>301</v>
      </c>
      <c r="D23" s="75" t="s">
        <v>318</v>
      </c>
      <c r="F23" s="112">
        <v>6</v>
      </c>
      <c r="G23" s="113" t="s">
        <v>321</v>
      </c>
    </row>
    <row r="24" spans="1:7" ht="20.149999999999999" customHeight="1">
      <c r="A24" s="107">
        <v>1011</v>
      </c>
      <c r="B24" s="78" t="s">
        <v>119</v>
      </c>
      <c r="C24" s="98" t="s">
        <v>300</v>
      </c>
      <c r="D24" s="75" t="s">
        <v>318</v>
      </c>
      <c r="F24" s="112">
        <v>7</v>
      </c>
      <c r="G24" s="113" t="s">
        <v>322</v>
      </c>
    </row>
    <row r="25" spans="1:7" ht="20.149999999999999" customHeight="1">
      <c r="A25" s="107">
        <v>1014</v>
      </c>
      <c r="B25" s="76" t="s">
        <v>166</v>
      </c>
      <c r="C25" s="98" t="s">
        <v>348</v>
      </c>
      <c r="D25" s="75" t="s">
        <v>318</v>
      </c>
      <c r="F25" s="112">
        <v>8</v>
      </c>
      <c r="G25" s="113" t="s">
        <v>324</v>
      </c>
    </row>
    <row r="26" spans="1:7" ht="20.149999999999999" customHeight="1">
      <c r="A26" s="107">
        <v>1016</v>
      </c>
      <c r="B26" s="76" t="s">
        <v>166</v>
      </c>
      <c r="C26" s="98" t="s">
        <v>348</v>
      </c>
      <c r="D26" s="75" t="s">
        <v>318</v>
      </c>
      <c r="F26" s="112">
        <v>9</v>
      </c>
      <c r="G26" s="114" t="s">
        <v>345</v>
      </c>
    </row>
    <row r="27" spans="1:7" ht="20.149999999999999" customHeight="1">
      <c r="A27" s="107">
        <v>1017</v>
      </c>
      <c r="B27" s="78" t="s">
        <v>170</v>
      </c>
      <c r="C27" s="98" t="s">
        <v>357</v>
      </c>
      <c r="D27" s="75" t="s">
        <v>318</v>
      </c>
      <c r="F27" s="112">
        <v>10</v>
      </c>
      <c r="G27" s="113" t="s">
        <v>346</v>
      </c>
    </row>
    <row r="28" spans="1:7" ht="20.149999999999999" customHeight="1">
      <c r="A28" s="107">
        <v>1018</v>
      </c>
      <c r="B28" s="78" t="s">
        <v>177</v>
      </c>
      <c r="C28" s="98" t="s">
        <v>358</v>
      </c>
      <c r="D28" s="75" t="s">
        <v>318</v>
      </c>
    </row>
    <row r="29" spans="1:7" ht="20.149999999999999" customHeight="1">
      <c r="A29" s="107">
        <v>1020</v>
      </c>
      <c r="B29" s="76" t="s">
        <v>186</v>
      </c>
      <c r="C29" s="98" t="s">
        <v>359</v>
      </c>
      <c r="D29" s="75" t="s">
        <v>318</v>
      </c>
      <c r="G29" s="73"/>
    </row>
    <row r="30" spans="1:7" ht="20.149999999999999" customHeight="1">
      <c r="A30" s="107">
        <v>1021</v>
      </c>
      <c r="B30" s="76" t="s">
        <v>191</v>
      </c>
      <c r="C30" s="98" t="s">
        <v>359</v>
      </c>
      <c r="D30" s="75" t="s">
        <v>318</v>
      </c>
      <c r="G30" s="73"/>
    </row>
    <row r="31" spans="1:7" ht="20.149999999999999" customHeight="1">
      <c r="A31" s="107">
        <v>1023</v>
      </c>
      <c r="B31" s="76" t="s">
        <v>202</v>
      </c>
      <c r="C31" s="98" t="s">
        <v>360</v>
      </c>
      <c r="D31" s="75" t="s">
        <v>318</v>
      </c>
      <c r="G31" s="73"/>
    </row>
    <row r="32" spans="1:7" ht="20.149999999999999" customHeight="1">
      <c r="A32" s="107">
        <v>1024</v>
      </c>
      <c r="B32" s="76" t="s">
        <v>205</v>
      </c>
      <c r="C32" s="98" t="s">
        <v>361</v>
      </c>
      <c r="D32" s="75" t="s">
        <v>318</v>
      </c>
    </row>
    <row r="33" spans="1:7" ht="20.149999999999999" customHeight="1">
      <c r="A33" s="107">
        <v>1033</v>
      </c>
      <c r="B33" s="76" t="s">
        <v>225</v>
      </c>
      <c r="C33" s="98" t="s">
        <v>355</v>
      </c>
      <c r="D33" s="75" t="s">
        <v>318</v>
      </c>
    </row>
    <row r="34" spans="1:7" ht="20.149999999999999" customHeight="1">
      <c r="A34" s="107">
        <v>1037</v>
      </c>
      <c r="B34" s="76" t="s">
        <v>233</v>
      </c>
      <c r="C34" s="98" t="s">
        <v>362</v>
      </c>
      <c r="D34" s="75" t="s">
        <v>318</v>
      </c>
    </row>
    <row r="35" spans="1:7" ht="20.149999999999999" customHeight="1">
      <c r="A35" s="107">
        <v>1038</v>
      </c>
      <c r="B35" s="79" t="s">
        <v>109</v>
      </c>
      <c r="C35" s="98" t="s">
        <v>363</v>
      </c>
      <c r="D35" s="75" t="s">
        <v>318</v>
      </c>
    </row>
    <row r="36" spans="1:7" ht="20.149999999999999" customHeight="1">
      <c r="A36" s="107">
        <v>4012</v>
      </c>
      <c r="B36" s="76" t="s">
        <v>150</v>
      </c>
      <c r="C36" s="98" t="s">
        <v>302</v>
      </c>
      <c r="D36" s="75" t="s">
        <v>329</v>
      </c>
    </row>
    <row r="37" spans="1:7" ht="20.149999999999999" customHeight="1">
      <c r="A37" s="107">
        <v>4013</v>
      </c>
      <c r="B37" s="78" t="s">
        <v>157</v>
      </c>
      <c r="C37" s="98" t="s">
        <v>303</v>
      </c>
      <c r="D37" s="75" t="s">
        <v>329</v>
      </c>
      <c r="G37" s="73"/>
    </row>
    <row r="38" spans="1:7" ht="20.149999999999999" customHeight="1">
      <c r="A38" s="107">
        <v>4022</v>
      </c>
      <c r="B38" s="78" t="s">
        <v>193</v>
      </c>
      <c r="C38" s="98" t="s">
        <v>320</v>
      </c>
      <c r="D38" s="75" t="s">
        <v>329</v>
      </c>
    </row>
    <row r="39" spans="1:7" ht="20.149999999999999" customHeight="1">
      <c r="A39" s="107">
        <v>4030</v>
      </c>
      <c r="B39" s="78" t="s">
        <v>219</v>
      </c>
      <c r="C39" s="98" t="s">
        <v>347</v>
      </c>
      <c r="D39" s="75" t="s">
        <v>329</v>
      </c>
    </row>
    <row r="40" spans="1:7" ht="20.149999999999999" customHeight="1">
      <c r="A40" s="107">
        <v>19</v>
      </c>
      <c r="B40" s="76" t="s">
        <v>181</v>
      </c>
      <c r="C40" s="98" t="s">
        <v>363</v>
      </c>
      <c r="D40" s="75"/>
    </row>
    <row r="41" spans="1:7" ht="20.149999999999999" customHeight="1">
      <c r="A41" s="107"/>
      <c r="B41" s="75"/>
      <c r="C41" s="75"/>
      <c r="D41" s="75"/>
    </row>
  </sheetData>
  <mergeCells count="1">
    <mergeCell ref="F1:I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7AF1-E0C3-4F90-8D08-889B6776D0C3}">
  <dimension ref="A2:G49"/>
  <sheetViews>
    <sheetView workbookViewId="0">
      <selection activeCell="J17" sqref="J17"/>
    </sheetView>
  </sheetViews>
  <sheetFormatPr defaultColWidth="9" defaultRowHeight="20.149999999999999" customHeight="1"/>
  <cols>
    <col min="1" max="1" width="9" style="72"/>
    <col min="2" max="2" width="14" style="72" customWidth="1"/>
    <col min="3" max="3" width="14.81640625" style="72" customWidth="1"/>
    <col min="4" max="7" width="13" style="84" customWidth="1"/>
    <col min="8" max="16384" width="9" style="72"/>
  </cols>
  <sheetData>
    <row r="2" spans="1:7" ht="20.149999999999999" customHeight="1">
      <c r="D2" s="91" t="s">
        <v>307</v>
      </c>
      <c r="E2" s="91" t="s">
        <v>308</v>
      </c>
      <c r="F2" s="91" t="s">
        <v>309</v>
      </c>
      <c r="G2" s="91" t="s">
        <v>310</v>
      </c>
    </row>
    <row r="3" spans="1:7" ht="20.149999999999999" customHeight="1">
      <c r="A3" s="80">
        <v>1</v>
      </c>
      <c r="B3" s="40" t="s">
        <v>21</v>
      </c>
      <c r="C3" s="85"/>
      <c r="D3" s="92">
        <v>7</v>
      </c>
      <c r="E3" s="92">
        <v>16</v>
      </c>
      <c r="F3" s="92">
        <v>16</v>
      </c>
      <c r="G3" s="92">
        <v>17</v>
      </c>
    </row>
    <row r="4" spans="1:7" ht="20.149999999999999" customHeight="1">
      <c r="A4" s="80">
        <v>2</v>
      </c>
      <c r="B4" s="40" t="s">
        <v>46</v>
      </c>
      <c r="C4" s="85"/>
      <c r="D4" s="92">
        <v>7</v>
      </c>
      <c r="E4" s="92">
        <v>16</v>
      </c>
      <c r="F4" s="92">
        <v>16</v>
      </c>
      <c r="G4" s="92">
        <v>17</v>
      </c>
    </row>
    <row r="5" spans="1:7" ht="20.149999999999999" customHeight="1">
      <c r="A5" s="80">
        <v>3</v>
      </c>
      <c r="B5" s="40" t="s">
        <v>57</v>
      </c>
      <c r="C5" s="85"/>
      <c r="D5" s="92">
        <v>7</v>
      </c>
      <c r="E5" s="92">
        <v>16</v>
      </c>
      <c r="F5" s="92">
        <v>16</v>
      </c>
      <c r="G5" s="92">
        <v>17</v>
      </c>
    </row>
    <row r="6" spans="1:7" ht="20.149999999999999" customHeight="1">
      <c r="A6" s="80">
        <v>4</v>
      </c>
      <c r="B6" s="40" t="s">
        <v>66</v>
      </c>
      <c r="C6" s="85"/>
      <c r="D6" s="92">
        <v>6.3</v>
      </c>
      <c r="E6" s="92">
        <v>15.3</v>
      </c>
      <c r="F6" s="92">
        <v>15.3</v>
      </c>
      <c r="G6" s="92">
        <v>16.3</v>
      </c>
    </row>
    <row r="7" spans="1:7" ht="20.149999999999999" customHeight="1">
      <c r="A7" s="80">
        <v>5</v>
      </c>
      <c r="B7" s="40" t="s">
        <v>73</v>
      </c>
      <c r="C7" s="85" t="s">
        <v>311</v>
      </c>
      <c r="D7" s="92">
        <v>7</v>
      </c>
      <c r="E7" s="92">
        <v>16</v>
      </c>
      <c r="F7" s="92">
        <v>16</v>
      </c>
      <c r="G7" s="92">
        <v>18</v>
      </c>
    </row>
    <row r="8" spans="1:7" ht="20.149999999999999" customHeight="1">
      <c r="A8" s="93">
        <v>5</v>
      </c>
      <c r="B8" s="94" t="s">
        <v>73</v>
      </c>
      <c r="C8" s="95" t="s">
        <v>312</v>
      </c>
      <c r="D8" s="96">
        <v>19.3</v>
      </c>
      <c r="E8" s="96">
        <v>4.3</v>
      </c>
      <c r="F8" s="96"/>
      <c r="G8" s="96"/>
    </row>
    <row r="9" spans="1:7" ht="20.149999999999999" customHeight="1">
      <c r="A9" s="80">
        <v>5</v>
      </c>
      <c r="B9" s="40" t="s">
        <v>73</v>
      </c>
      <c r="C9" s="85" t="s">
        <v>65</v>
      </c>
      <c r="D9" s="92">
        <v>7</v>
      </c>
      <c r="E9" s="92">
        <v>16</v>
      </c>
      <c r="F9" s="92">
        <v>16</v>
      </c>
      <c r="G9" s="92">
        <v>17</v>
      </c>
    </row>
    <row r="10" spans="1:7" ht="20.149999999999999" customHeight="1">
      <c r="A10" s="80">
        <v>6</v>
      </c>
      <c r="B10" s="23" t="s">
        <v>77</v>
      </c>
      <c r="C10" s="86" t="s">
        <v>27</v>
      </c>
      <c r="D10" s="92">
        <v>7</v>
      </c>
      <c r="E10" s="92">
        <v>16</v>
      </c>
      <c r="F10" s="92">
        <v>16</v>
      </c>
      <c r="G10" s="92">
        <v>17.3</v>
      </c>
    </row>
    <row r="11" spans="1:7" ht="20.149999999999999" customHeight="1">
      <c r="A11" s="80">
        <v>6</v>
      </c>
      <c r="B11" s="23" t="s">
        <v>77</v>
      </c>
      <c r="C11" s="86" t="s">
        <v>27</v>
      </c>
      <c r="D11" s="92">
        <v>7</v>
      </c>
      <c r="E11" s="92">
        <v>16</v>
      </c>
      <c r="F11" s="92">
        <v>16</v>
      </c>
      <c r="G11" s="92">
        <v>21</v>
      </c>
    </row>
    <row r="12" spans="1:7" ht="20.149999999999999" customHeight="1">
      <c r="A12" s="80">
        <v>6</v>
      </c>
      <c r="B12" s="23" t="s">
        <v>77</v>
      </c>
      <c r="C12" s="86" t="s">
        <v>65</v>
      </c>
      <c r="D12" s="92">
        <v>7</v>
      </c>
      <c r="E12" s="92">
        <v>16</v>
      </c>
      <c r="F12" s="92">
        <v>16</v>
      </c>
      <c r="G12" s="92">
        <v>17.3</v>
      </c>
    </row>
    <row r="13" spans="1:7" ht="20.149999999999999" customHeight="1">
      <c r="A13" s="80">
        <v>7</v>
      </c>
      <c r="B13" s="40" t="s">
        <v>91</v>
      </c>
      <c r="C13" s="85"/>
      <c r="D13" s="92">
        <v>6.3</v>
      </c>
      <c r="E13" s="92">
        <v>15.3</v>
      </c>
      <c r="F13" s="92">
        <v>15.3</v>
      </c>
      <c r="G13" s="92">
        <v>16.3</v>
      </c>
    </row>
    <row r="14" spans="1:7" ht="20.149999999999999" customHeight="1">
      <c r="A14" s="80">
        <v>8</v>
      </c>
      <c r="B14" s="40" t="s">
        <v>97</v>
      </c>
      <c r="C14" s="85"/>
      <c r="D14" s="92">
        <v>7</v>
      </c>
      <c r="E14" s="92">
        <v>16</v>
      </c>
      <c r="F14" s="92"/>
      <c r="G14" s="92"/>
    </row>
    <row r="15" spans="1:7" ht="20.149999999999999" customHeight="1">
      <c r="A15" s="80">
        <v>9</v>
      </c>
      <c r="B15" s="40" t="s">
        <v>101</v>
      </c>
      <c r="C15" s="85" t="s">
        <v>313</v>
      </c>
      <c r="D15" s="92">
        <v>6.3</v>
      </c>
      <c r="E15" s="92">
        <v>15.3</v>
      </c>
      <c r="F15" s="92">
        <v>15.3</v>
      </c>
      <c r="G15" s="92">
        <v>17</v>
      </c>
    </row>
    <row r="16" spans="1:7" ht="20.149999999999999" customHeight="1">
      <c r="A16" s="80">
        <v>9</v>
      </c>
      <c r="B16" s="40" t="s">
        <v>101</v>
      </c>
      <c r="C16" s="85"/>
      <c r="D16" s="92">
        <v>7</v>
      </c>
      <c r="E16" s="92">
        <v>16</v>
      </c>
      <c r="F16" s="92">
        <v>16</v>
      </c>
      <c r="G16" s="92">
        <v>17</v>
      </c>
    </row>
    <row r="17" spans="1:7" ht="20.149999999999999" customHeight="1">
      <c r="A17" s="80">
        <v>10</v>
      </c>
      <c r="B17" s="40" t="s">
        <v>105</v>
      </c>
      <c r="C17" s="85"/>
      <c r="D17" s="92">
        <v>7</v>
      </c>
      <c r="E17" s="92">
        <v>16</v>
      </c>
      <c r="F17" s="92">
        <v>16</v>
      </c>
      <c r="G17" s="92">
        <v>17</v>
      </c>
    </row>
    <row r="18" spans="1:7" ht="20.149999999999999" customHeight="1">
      <c r="A18" s="80">
        <v>11</v>
      </c>
      <c r="B18" s="40" t="s">
        <v>119</v>
      </c>
      <c r="C18" s="85" t="s">
        <v>314</v>
      </c>
      <c r="D18" s="92">
        <v>7.3</v>
      </c>
      <c r="E18" s="92">
        <v>16.3</v>
      </c>
      <c r="F18" s="92">
        <v>16.5</v>
      </c>
      <c r="G18" s="92">
        <v>18.5</v>
      </c>
    </row>
    <row r="19" spans="1:7" ht="20.149999999999999" customHeight="1">
      <c r="A19" s="93">
        <v>11</v>
      </c>
      <c r="B19" s="94" t="s">
        <v>119</v>
      </c>
      <c r="C19" s="95" t="s">
        <v>315</v>
      </c>
      <c r="D19" s="96">
        <v>19.3</v>
      </c>
      <c r="E19" s="96">
        <v>4.3</v>
      </c>
      <c r="F19" s="96">
        <v>4.5</v>
      </c>
      <c r="G19" s="96">
        <v>6.5</v>
      </c>
    </row>
    <row r="20" spans="1:7" ht="20.149999999999999" customHeight="1">
      <c r="A20" s="80">
        <v>12</v>
      </c>
      <c r="B20" s="40" t="s">
        <v>150</v>
      </c>
      <c r="C20" s="85"/>
      <c r="D20" s="92">
        <v>7.3</v>
      </c>
      <c r="E20" s="92">
        <v>16.3</v>
      </c>
      <c r="F20" s="92">
        <v>16.3</v>
      </c>
      <c r="G20" s="92">
        <v>17.3</v>
      </c>
    </row>
    <row r="21" spans="1:7" ht="20.149999999999999" customHeight="1">
      <c r="A21" s="80">
        <v>13</v>
      </c>
      <c r="B21" s="40" t="s">
        <v>157</v>
      </c>
      <c r="C21" s="85"/>
      <c r="D21" s="92">
        <v>7.3</v>
      </c>
      <c r="E21" s="92">
        <v>16.3</v>
      </c>
      <c r="F21" s="92">
        <v>16.3</v>
      </c>
      <c r="G21" s="92">
        <v>17.3</v>
      </c>
    </row>
    <row r="22" spans="1:7" ht="20.149999999999999" customHeight="1">
      <c r="A22" s="80">
        <v>14</v>
      </c>
      <c r="B22" s="40" t="s">
        <v>166</v>
      </c>
      <c r="C22" s="85"/>
      <c r="D22" s="92">
        <v>8</v>
      </c>
      <c r="E22" s="92">
        <v>17</v>
      </c>
      <c r="F22" s="92"/>
      <c r="G22" s="92"/>
    </row>
    <row r="23" spans="1:7" ht="20.149999999999999" customHeight="1">
      <c r="A23" s="80">
        <v>15</v>
      </c>
      <c r="B23" s="40" t="s">
        <v>166</v>
      </c>
      <c r="C23" s="85"/>
      <c r="D23" s="92">
        <v>8</v>
      </c>
      <c r="E23" s="92">
        <v>17</v>
      </c>
      <c r="F23" s="92"/>
      <c r="G23" s="92"/>
    </row>
    <row r="24" spans="1:7" ht="20.149999999999999" customHeight="1">
      <c r="A24" s="80">
        <v>16</v>
      </c>
      <c r="B24" s="40" t="s">
        <v>166</v>
      </c>
      <c r="C24" s="85"/>
      <c r="D24" s="92">
        <v>8</v>
      </c>
      <c r="E24" s="92">
        <v>17</v>
      </c>
      <c r="F24" s="92"/>
      <c r="G24" s="92"/>
    </row>
    <row r="25" spans="1:7" ht="20.149999999999999" customHeight="1">
      <c r="A25" s="80">
        <v>17</v>
      </c>
      <c r="B25" s="40" t="s">
        <v>170</v>
      </c>
      <c r="C25" s="85" t="s">
        <v>27</v>
      </c>
      <c r="D25" s="92">
        <v>7</v>
      </c>
      <c r="E25" s="92">
        <v>16</v>
      </c>
      <c r="F25" s="92">
        <v>16</v>
      </c>
      <c r="G25" s="92">
        <v>17</v>
      </c>
    </row>
    <row r="26" spans="1:7" ht="20.149999999999999" customHeight="1">
      <c r="A26" s="80">
        <v>17</v>
      </c>
      <c r="B26" s="40" t="s">
        <v>170</v>
      </c>
      <c r="C26" s="85" t="s">
        <v>65</v>
      </c>
      <c r="D26" s="92">
        <v>8</v>
      </c>
      <c r="E26" s="92">
        <v>16</v>
      </c>
      <c r="F26" s="92"/>
      <c r="G26" s="92"/>
    </row>
    <row r="27" spans="1:7" ht="20.149999999999999" customHeight="1">
      <c r="A27" s="80">
        <v>18</v>
      </c>
      <c r="B27" s="40" t="s">
        <v>177</v>
      </c>
      <c r="C27" s="85"/>
      <c r="D27" s="92">
        <v>7.3</v>
      </c>
      <c r="E27" s="92">
        <v>16.3</v>
      </c>
      <c r="F27" s="92"/>
      <c r="G27" s="92"/>
    </row>
    <row r="28" spans="1:7" ht="20.149999999999999" customHeight="1">
      <c r="A28" s="80">
        <v>19</v>
      </c>
      <c r="B28" s="35" t="s">
        <v>181</v>
      </c>
      <c r="C28" s="87"/>
      <c r="D28" s="92"/>
      <c r="E28" s="92"/>
      <c r="F28" s="92"/>
      <c r="G28" s="92"/>
    </row>
    <row r="29" spans="1:7" ht="20.149999999999999" customHeight="1">
      <c r="A29" s="80">
        <v>20</v>
      </c>
      <c r="B29" s="35" t="s">
        <v>186</v>
      </c>
      <c r="C29" s="87"/>
      <c r="D29" s="92">
        <v>7.3</v>
      </c>
      <c r="E29" s="92">
        <v>16.3</v>
      </c>
      <c r="F29" s="92"/>
      <c r="G29" s="92"/>
    </row>
    <row r="30" spans="1:7" ht="20.149999999999999" customHeight="1">
      <c r="A30" s="80">
        <v>21</v>
      </c>
      <c r="B30" s="35" t="s">
        <v>191</v>
      </c>
      <c r="C30" s="87"/>
      <c r="D30" s="92">
        <v>7.3</v>
      </c>
      <c r="E30" s="92">
        <v>16.3</v>
      </c>
      <c r="F30" s="92"/>
      <c r="G30" s="92"/>
    </row>
    <row r="31" spans="1:7" ht="20.149999999999999" customHeight="1">
      <c r="A31" s="80">
        <v>22</v>
      </c>
      <c r="B31" s="35" t="s">
        <v>193</v>
      </c>
      <c r="C31" s="87" t="s">
        <v>316</v>
      </c>
      <c r="D31" s="92">
        <v>6</v>
      </c>
      <c r="E31" s="92">
        <v>15</v>
      </c>
      <c r="F31" s="92"/>
      <c r="G31" s="92"/>
    </row>
    <row r="32" spans="1:7" ht="20.149999999999999" customHeight="1">
      <c r="A32" s="80">
        <v>22</v>
      </c>
      <c r="B32" s="35" t="s">
        <v>193</v>
      </c>
      <c r="C32" s="87" t="s">
        <v>27</v>
      </c>
      <c r="D32" s="92">
        <v>7.3</v>
      </c>
      <c r="E32" s="92">
        <v>16.3</v>
      </c>
      <c r="F32" s="92"/>
      <c r="G32" s="92"/>
    </row>
    <row r="33" spans="1:7" ht="20.149999999999999" customHeight="1">
      <c r="A33" s="80">
        <v>22</v>
      </c>
      <c r="B33" s="35" t="s">
        <v>193</v>
      </c>
      <c r="C33" s="87" t="s">
        <v>117</v>
      </c>
      <c r="D33" s="92">
        <v>7.3</v>
      </c>
      <c r="E33" s="92">
        <v>16.3</v>
      </c>
      <c r="F33" s="92"/>
      <c r="G33" s="92"/>
    </row>
    <row r="34" spans="1:7" ht="20.149999999999999" customHeight="1">
      <c r="A34" s="80">
        <v>23</v>
      </c>
      <c r="B34" s="40" t="s">
        <v>202</v>
      </c>
      <c r="C34" s="85"/>
      <c r="D34" s="92">
        <v>6</v>
      </c>
      <c r="E34" s="92">
        <v>15</v>
      </c>
      <c r="F34" s="92">
        <v>15</v>
      </c>
      <c r="G34" s="92">
        <v>16</v>
      </c>
    </row>
    <row r="35" spans="1:7" ht="20.149999999999999" customHeight="1">
      <c r="A35" s="80">
        <v>24</v>
      </c>
      <c r="B35" s="40" t="s">
        <v>205</v>
      </c>
      <c r="C35" s="85"/>
      <c r="D35" s="92">
        <v>6.3</v>
      </c>
      <c r="E35" s="92">
        <v>15.3</v>
      </c>
      <c r="F35" s="92"/>
      <c r="G35" s="92"/>
    </row>
    <row r="36" spans="1:7" ht="20.149999999999999" customHeight="1">
      <c r="A36" s="80">
        <v>25</v>
      </c>
      <c r="B36" s="21" t="s">
        <v>208</v>
      </c>
      <c r="C36" s="88"/>
      <c r="D36" s="92">
        <v>7.3</v>
      </c>
      <c r="E36" s="92">
        <v>16.3</v>
      </c>
      <c r="F36" s="92">
        <v>16.3</v>
      </c>
      <c r="G36" s="92">
        <v>17.3</v>
      </c>
    </row>
    <row r="37" spans="1:7" ht="20.149999999999999" customHeight="1">
      <c r="A37" s="80">
        <v>26</v>
      </c>
      <c r="B37" s="35" t="s">
        <v>210</v>
      </c>
      <c r="C37" s="87"/>
      <c r="D37" s="92">
        <v>7</v>
      </c>
      <c r="E37" s="92">
        <v>16</v>
      </c>
      <c r="F37" s="92">
        <v>16</v>
      </c>
      <c r="G37" s="92">
        <v>17</v>
      </c>
    </row>
    <row r="38" spans="1:7" ht="20.149999999999999" customHeight="1">
      <c r="A38" s="80">
        <v>27</v>
      </c>
      <c r="B38" s="40" t="s">
        <v>213</v>
      </c>
      <c r="C38" s="85"/>
      <c r="D38" s="92">
        <v>7</v>
      </c>
      <c r="E38" s="92">
        <v>16</v>
      </c>
      <c r="F38" s="92"/>
      <c r="G38" s="92"/>
    </row>
    <row r="39" spans="1:7" ht="20.149999999999999" customHeight="1">
      <c r="A39" s="80">
        <v>28</v>
      </c>
      <c r="B39" s="40" t="s">
        <v>215</v>
      </c>
      <c r="C39" s="85"/>
      <c r="D39" s="92">
        <v>7</v>
      </c>
      <c r="E39" s="92">
        <v>16</v>
      </c>
      <c r="F39" s="92"/>
      <c r="G39" s="92"/>
    </row>
    <row r="40" spans="1:7" ht="20.149999999999999" customHeight="1">
      <c r="A40" s="80">
        <v>29</v>
      </c>
      <c r="B40" s="40" t="s">
        <v>217</v>
      </c>
      <c r="C40" s="85"/>
      <c r="D40" s="92">
        <v>7.3</v>
      </c>
      <c r="E40" s="92">
        <v>16.3</v>
      </c>
      <c r="F40" s="92"/>
      <c r="G40" s="92"/>
    </row>
    <row r="41" spans="1:7" ht="20.149999999999999" customHeight="1">
      <c r="A41" s="80">
        <v>30</v>
      </c>
      <c r="B41" s="40" t="s">
        <v>219</v>
      </c>
      <c r="C41" s="85"/>
      <c r="D41" s="92">
        <v>7</v>
      </c>
      <c r="E41" s="92">
        <v>16</v>
      </c>
      <c r="F41" s="92"/>
      <c r="G41" s="92"/>
    </row>
    <row r="42" spans="1:7" ht="20.149999999999999" customHeight="1">
      <c r="A42" s="80">
        <v>31</v>
      </c>
      <c r="B42" s="40" t="s">
        <v>221</v>
      </c>
      <c r="C42" s="85"/>
      <c r="D42" s="92">
        <v>7.3</v>
      </c>
      <c r="E42" s="92">
        <v>16.3</v>
      </c>
      <c r="F42" s="92"/>
      <c r="G42" s="92"/>
    </row>
    <row r="43" spans="1:7" ht="20.149999999999999" customHeight="1">
      <c r="A43" s="80">
        <v>32</v>
      </c>
      <c r="B43" s="40" t="s">
        <v>223</v>
      </c>
      <c r="C43" s="85"/>
      <c r="D43" s="92">
        <v>8</v>
      </c>
      <c r="E43" s="92">
        <v>17</v>
      </c>
      <c r="F43" s="92"/>
      <c r="G43" s="92"/>
    </row>
    <row r="44" spans="1:7" ht="20.149999999999999" customHeight="1">
      <c r="A44" s="80">
        <v>33</v>
      </c>
      <c r="B44" s="40" t="s">
        <v>225</v>
      </c>
      <c r="C44" s="85"/>
      <c r="D44" s="92">
        <v>7</v>
      </c>
      <c r="E44" s="92">
        <v>16</v>
      </c>
      <c r="F44" s="92"/>
      <c r="G44" s="92"/>
    </row>
    <row r="45" spans="1:7" ht="20.149999999999999" customHeight="1">
      <c r="A45" s="80">
        <v>34</v>
      </c>
      <c r="B45" s="40" t="s">
        <v>227</v>
      </c>
      <c r="C45" s="85"/>
      <c r="D45" s="92">
        <v>8</v>
      </c>
      <c r="E45" s="92">
        <v>17</v>
      </c>
      <c r="F45" s="92"/>
      <c r="G45" s="92"/>
    </row>
    <row r="46" spans="1:7" ht="20.149999999999999" customHeight="1">
      <c r="A46" s="80">
        <v>35</v>
      </c>
      <c r="B46" s="47" t="s">
        <v>229</v>
      </c>
      <c r="C46" s="89"/>
      <c r="D46" s="92">
        <v>8</v>
      </c>
      <c r="E46" s="92">
        <v>17</v>
      </c>
      <c r="F46" s="92"/>
      <c r="G46" s="92"/>
    </row>
    <row r="47" spans="1:7" ht="20.149999999999999" customHeight="1">
      <c r="A47" s="80">
        <v>36</v>
      </c>
      <c r="B47" s="35" t="s">
        <v>231</v>
      </c>
      <c r="C47" s="87"/>
      <c r="D47" s="92">
        <v>7</v>
      </c>
      <c r="E47" s="92">
        <v>16</v>
      </c>
      <c r="F47" s="92">
        <v>16</v>
      </c>
      <c r="G47" s="92">
        <v>17</v>
      </c>
    </row>
    <row r="48" spans="1:7" ht="20.149999999999999" customHeight="1">
      <c r="A48" s="80">
        <v>37</v>
      </c>
      <c r="B48" s="35" t="s">
        <v>233</v>
      </c>
      <c r="C48" s="87"/>
      <c r="D48" s="92">
        <v>8</v>
      </c>
      <c r="E48" s="92">
        <v>17</v>
      </c>
      <c r="F48" s="92">
        <v>6</v>
      </c>
      <c r="G48" s="92">
        <v>8</v>
      </c>
    </row>
    <row r="49" spans="1:7" ht="20.149999999999999" customHeight="1">
      <c r="A49" s="80">
        <v>38</v>
      </c>
      <c r="B49" s="46" t="s">
        <v>109</v>
      </c>
      <c r="C49" s="90"/>
      <c r="D49" s="92">
        <v>8</v>
      </c>
      <c r="E49" s="92">
        <v>17</v>
      </c>
      <c r="F49" s="92"/>
      <c r="G49" s="9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E030-4E48-411D-826E-0BD3BBCAD76D}">
  <dimension ref="A1:U155"/>
  <sheetViews>
    <sheetView topLeftCell="A97" workbookViewId="0">
      <selection activeCell="L12" sqref="L12"/>
    </sheetView>
  </sheetViews>
  <sheetFormatPr defaultColWidth="9" defaultRowHeight="20.149999999999999" customHeight="1"/>
  <cols>
    <col min="1" max="1" width="6.54296875" style="97" customWidth="1"/>
    <col min="2" max="2" width="9" style="97"/>
    <col min="3" max="3" width="28.81640625" style="97" customWidth="1"/>
    <col min="4" max="4" width="12.54296875" style="1" customWidth="1"/>
    <col min="5" max="6" width="11.81640625" style="104" customWidth="1"/>
    <col min="7" max="7" width="9.26953125" style="104" bestFit="1" customWidth="1"/>
    <col min="8" max="14" width="9" style="104"/>
    <col min="15" max="17" width="14.1796875" style="104" customWidth="1"/>
    <col min="18" max="16384" width="9" style="97"/>
  </cols>
  <sheetData>
    <row r="1" spans="1:21" ht="20.149999999999999" customHeight="1">
      <c r="D1" s="4"/>
    </row>
    <row r="2" spans="1:21" ht="20.149999999999999" customHeight="1">
      <c r="D2" s="102"/>
      <c r="E2" s="144" t="s">
        <v>380</v>
      </c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5" t="s">
        <v>381</v>
      </c>
      <c r="S2" s="145"/>
      <c r="T2" s="145"/>
      <c r="U2" s="145"/>
    </row>
    <row r="3" spans="1:21" ht="20.149999999999999" customHeight="1">
      <c r="A3" s="81" t="s">
        <v>1</v>
      </c>
      <c r="B3" s="81" t="s">
        <v>2</v>
      </c>
      <c r="C3" s="81" t="s">
        <v>3</v>
      </c>
      <c r="D3" s="101"/>
      <c r="E3" s="81" t="s">
        <v>331</v>
      </c>
      <c r="F3" s="105" t="s">
        <v>332</v>
      </c>
      <c r="G3" s="105" t="s">
        <v>333</v>
      </c>
      <c r="H3" s="105" t="s">
        <v>275</v>
      </c>
      <c r="I3" s="105" t="s">
        <v>334</v>
      </c>
      <c r="J3" s="105" t="s">
        <v>335</v>
      </c>
      <c r="K3" s="105" t="s">
        <v>336</v>
      </c>
      <c r="L3" s="105" t="s">
        <v>337</v>
      </c>
      <c r="M3" s="105" t="s">
        <v>274</v>
      </c>
      <c r="N3" s="105" t="s">
        <v>338</v>
      </c>
      <c r="O3" s="105" t="s">
        <v>339</v>
      </c>
      <c r="P3" s="105" t="s">
        <v>340</v>
      </c>
      <c r="Q3" s="105" t="s">
        <v>341</v>
      </c>
      <c r="R3" s="81" t="s">
        <v>382</v>
      </c>
      <c r="S3" s="81" t="s">
        <v>383</v>
      </c>
      <c r="T3" s="81"/>
      <c r="U3" s="81"/>
    </row>
    <row r="4" spans="1:21" ht="20.149999999999999" customHeight="1">
      <c r="A4" s="81">
        <v>1</v>
      </c>
      <c r="B4" s="81">
        <v>210993</v>
      </c>
      <c r="C4" s="81" t="s">
        <v>19</v>
      </c>
      <c r="D4" s="43" t="s">
        <v>21</v>
      </c>
      <c r="E4" s="105">
        <v>12000</v>
      </c>
      <c r="F4" s="105"/>
      <c r="G4" s="105">
        <v>1000</v>
      </c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21" ht="20.149999999999999" customHeight="1">
      <c r="A5" s="81">
        <v>2</v>
      </c>
      <c r="B5" s="81">
        <v>120189</v>
      </c>
      <c r="C5" s="81" t="s">
        <v>26</v>
      </c>
      <c r="D5" s="43" t="s">
        <v>21</v>
      </c>
      <c r="E5" s="105">
        <v>12000</v>
      </c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21" ht="20.149999999999999" customHeight="1">
      <c r="A6" s="81">
        <v>3</v>
      </c>
      <c r="B6" s="81">
        <v>120260</v>
      </c>
      <c r="C6" s="81" t="s">
        <v>33</v>
      </c>
      <c r="D6" s="43" t="s">
        <v>21</v>
      </c>
      <c r="E6" s="105">
        <v>12000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21" ht="20.149999999999999" customHeight="1">
      <c r="A7" s="81">
        <v>4</v>
      </c>
      <c r="B7" s="81">
        <v>120014</v>
      </c>
      <c r="C7" s="81" t="s">
        <v>36</v>
      </c>
      <c r="D7" s="43" t="s">
        <v>21</v>
      </c>
      <c r="E7" s="105">
        <v>12000</v>
      </c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</row>
    <row r="8" spans="1:21" ht="20.149999999999999" customHeight="1">
      <c r="A8" s="81">
        <v>5</v>
      </c>
      <c r="B8" s="81">
        <v>120697</v>
      </c>
      <c r="C8" s="81" t="s">
        <v>39</v>
      </c>
      <c r="D8" s="43" t="s">
        <v>21</v>
      </c>
      <c r="E8" s="105">
        <v>12000</v>
      </c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</row>
    <row r="9" spans="1:21" ht="20.149999999999999" customHeight="1">
      <c r="A9" s="81">
        <v>6</v>
      </c>
      <c r="B9" s="81">
        <v>220697</v>
      </c>
      <c r="C9" s="81" t="s">
        <v>40</v>
      </c>
      <c r="D9" s="43" t="s">
        <v>21</v>
      </c>
      <c r="E9" s="105">
        <v>12000</v>
      </c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</row>
    <row r="10" spans="1:21" ht="20.149999999999999" customHeight="1">
      <c r="A10" s="81">
        <v>7</v>
      </c>
      <c r="B10" s="81">
        <v>120150</v>
      </c>
      <c r="C10" s="81" t="s">
        <v>42</v>
      </c>
      <c r="D10" s="43" t="s">
        <v>21</v>
      </c>
      <c r="E10" s="105">
        <v>12000</v>
      </c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</row>
    <row r="11" spans="1:21" ht="20.149999999999999" customHeight="1">
      <c r="A11" s="81">
        <v>8</v>
      </c>
      <c r="B11" s="81">
        <v>120748</v>
      </c>
      <c r="C11" s="81" t="s">
        <v>45</v>
      </c>
      <c r="D11" s="43" t="s">
        <v>46</v>
      </c>
      <c r="E11" s="105">
        <v>12000</v>
      </c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</row>
    <row r="12" spans="1:21" ht="20.149999999999999" customHeight="1">
      <c r="A12" s="81">
        <v>9</v>
      </c>
      <c r="B12" s="81">
        <v>120901</v>
      </c>
      <c r="C12" s="81" t="s">
        <v>47</v>
      </c>
      <c r="D12" s="43" t="s">
        <v>46</v>
      </c>
      <c r="E12" s="105">
        <v>12000</v>
      </c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</row>
    <row r="13" spans="1:21" ht="20.149999999999999" customHeight="1">
      <c r="A13" s="81">
        <v>10</v>
      </c>
      <c r="B13" s="81">
        <v>110749</v>
      </c>
      <c r="C13" s="81" t="s">
        <v>50</v>
      </c>
      <c r="D13" s="43" t="s">
        <v>46</v>
      </c>
      <c r="E13" s="105">
        <v>12000</v>
      </c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</row>
    <row r="14" spans="1:21" ht="20.149999999999999" customHeight="1">
      <c r="A14" s="81">
        <v>11</v>
      </c>
      <c r="B14" s="81">
        <v>110709</v>
      </c>
      <c r="C14" s="81" t="s">
        <v>52</v>
      </c>
      <c r="D14" s="43" t="s">
        <v>46</v>
      </c>
      <c r="E14" s="105">
        <v>12000</v>
      </c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</row>
    <row r="15" spans="1:21" ht="20.149999999999999" customHeight="1">
      <c r="A15" s="81">
        <v>12</v>
      </c>
      <c r="B15" s="81">
        <v>111019</v>
      </c>
      <c r="C15" s="81" t="s">
        <v>53</v>
      </c>
      <c r="D15" s="43" t="s">
        <v>46</v>
      </c>
      <c r="E15" s="105">
        <v>12000</v>
      </c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</row>
    <row r="16" spans="1:21" ht="20.149999999999999" customHeight="1">
      <c r="A16" s="81">
        <v>13</v>
      </c>
      <c r="B16" s="81">
        <v>120362</v>
      </c>
      <c r="C16" s="81" t="s">
        <v>55</v>
      </c>
      <c r="D16" s="43" t="s">
        <v>46</v>
      </c>
      <c r="E16" s="105">
        <v>12000</v>
      </c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</row>
    <row r="17" spans="1:17" ht="20.149999999999999" customHeight="1">
      <c r="A17" s="81">
        <v>14</v>
      </c>
      <c r="B17" s="81">
        <v>121300</v>
      </c>
      <c r="C17" s="81" t="s">
        <v>56</v>
      </c>
      <c r="D17" s="43" t="s">
        <v>57</v>
      </c>
      <c r="E17" s="105">
        <v>12000</v>
      </c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</row>
    <row r="18" spans="1:17" ht="20.149999999999999" customHeight="1">
      <c r="A18" s="81">
        <v>15</v>
      </c>
      <c r="B18" s="81">
        <v>121099</v>
      </c>
      <c r="C18" s="81" t="s">
        <v>58</v>
      </c>
      <c r="D18" s="43" t="s">
        <v>57</v>
      </c>
      <c r="E18" s="105">
        <v>12000</v>
      </c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</row>
    <row r="19" spans="1:17" ht="20.149999999999999" customHeight="1">
      <c r="A19" s="81">
        <v>16</v>
      </c>
      <c r="B19" s="81">
        <v>121301</v>
      </c>
      <c r="C19" s="81" t="s">
        <v>60</v>
      </c>
      <c r="D19" s="43" t="s">
        <v>57</v>
      </c>
      <c r="E19" s="105">
        <v>12000</v>
      </c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</row>
    <row r="20" spans="1:17" ht="20.149999999999999" customHeight="1">
      <c r="A20" s="81">
        <v>17</v>
      </c>
      <c r="B20" s="81">
        <v>110360</v>
      </c>
      <c r="C20" s="81" t="s">
        <v>61</v>
      </c>
      <c r="D20" s="43" t="s">
        <v>57</v>
      </c>
      <c r="E20" s="105">
        <v>12000</v>
      </c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</row>
    <row r="21" spans="1:17" ht="20.149999999999999" customHeight="1">
      <c r="A21" s="81">
        <v>18</v>
      </c>
      <c r="B21" s="81">
        <v>110738</v>
      </c>
      <c r="C21" s="81" t="s">
        <v>63</v>
      </c>
      <c r="D21" s="43" t="s">
        <v>57</v>
      </c>
      <c r="E21" s="105">
        <v>12000</v>
      </c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</row>
    <row r="22" spans="1:17" ht="20.149999999999999" customHeight="1">
      <c r="A22" s="81">
        <v>19</v>
      </c>
      <c r="B22" s="81">
        <v>110932</v>
      </c>
      <c r="C22" s="81" t="s">
        <v>64</v>
      </c>
      <c r="D22" s="43" t="s">
        <v>57</v>
      </c>
      <c r="E22" s="105">
        <v>12000</v>
      </c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</row>
    <row r="23" spans="1:17" ht="20.149999999999999" customHeight="1">
      <c r="A23" s="81">
        <v>20</v>
      </c>
      <c r="B23" s="81">
        <v>120977</v>
      </c>
      <c r="C23" s="81" t="s">
        <v>367</v>
      </c>
      <c r="D23" s="43" t="s">
        <v>57</v>
      </c>
      <c r="E23" s="105">
        <v>12000</v>
      </c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</row>
    <row r="24" spans="1:17" ht="20.149999999999999" customHeight="1">
      <c r="A24" s="81">
        <v>21</v>
      </c>
      <c r="B24" s="81">
        <v>110669</v>
      </c>
      <c r="C24" s="81" t="s">
        <v>366</v>
      </c>
      <c r="D24" s="43" t="s">
        <v>66</v>
      </c>
      <c r="E24" s="105">
        <v>12000</v>
      </c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</row>
    <row r="25" spans="1:17" ht="20.149999999999999" customHeight="1">
      <c r="A25" s="81">
        <v>22</v>
      </c>
      <c r="B25" s="81">
        <v>120603</v>
      </c>
      <c r="C25" s="81" t="s">
        <v>67</v>
      </c>
      <c r="D25" s="43" t="s">
        <v>66</v>
      </c>
      <c r="E25" s="105">
        <v>12000</v>
      </c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</row>
    <row r="26" spans="1:17" ht="20.149999999999999" customHeight="1">
      <c r="A26" s="81">
        <v>23</v>
      </c>
      <c r="B26" s="81">
        <v>120918</v>
      </c>
      <c r="C26" s="81" t="s">
        <v>68</v>
      </c>
      <c r="D26" s="43" t="s">
        <v>66</v>
      </c>
      <c r="E26" s="105">
        <v>12000</v>
      </c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</row>
    <row r="27" spans="1:17" ht="20.149999999999999" customHeight="1">
      <c r="A27" s="81">
        <v>24</v>
      </c>
      <c r="B27" s="81">
        <v>110367</v>
      </c>
      <c r="C27" s="81" t="s">
        <v>70</v>
      </c>
      <c r="D27" s="43" t="s">
        <v>66</v>
      </c>
      <c r="E27" s="105">
        <v>12000</v>
      </c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</row>
    <row r="28" spans="1:17" ht="20.149999999999999" customHeight="1">
      <c r="A28" s="81">
        <v>25</v>
      </c>
      <c r="B28" s="81">
        <v>120630</v>
      </c>
      <c r="C28" s="81" t="s">
        <v>71</v>
      </c>
      <c r="D28" s="43" t="s">
        <v>66</v>
      </c>
      <c r="E28" s="105">
        <v>12000</v>
      </c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</row>
    <row r="29" spans="1:17" ht="20.149999999999999" customHeight="1">
      <c r="A29" s="81">
        <v>26</v>
      </c>
      <c r="B29" s="81">
        <v>110947</v>
      </c>
      <c r="C29" s="81" t="s">
        <v>72</v>
      </c>
      <c r="D29" s="43" t="s">
        <v>73</v>
      </c>
      <c r="E29" s="105">
        <v>12000</v>
      </c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</row>
    <row r="30" spans="1:17" ht="20.149999999999999" customHeight="1">
      <c r="A30" s="81">
        <v>27</v>
      </c>
      <c r="B30" s="81">
        <v>220804</v>
      </c>
      <c r="C30" s="81" t="s">
        <v>74</v>
      </c>
      <c r="D30" s="43" t="s">
        <v>73</v>
      </c>
      <c r="E30" s="105">
        <v>12000</v>
      </c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</row>
    <row r="31" spans="1:17" ht="20.149999999999999" customHeight="1">
      <c r="A31" s="81">
        <v>28</v>
      </c>
      <c r="B31" s="81">
        <v>120826</v>
      </c>
      <c r="C31" s="81" t="s">
        <v>75</v>
      </c>
      <c r="D31" s="43" t="s">
        <v>73</v>
      </c>
      <c r="E31" s="105">
        <v>12000</v>
      </c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</row>
    <row r="32" spans="1:17" ht="20.149999999999999" customHeight="1">
      <c r="A32" s="81">
        <v>29</v>
      </c>
      <c r="B32" s="81">
        <v>110883</v>
      </c>
      <c r="C32" s="81" t="s">
        <v>76</v>
      </c>
      <c r="D32" s="101" t="s">
        <v>77</v>
      </c>
      <c r="E32" s="105">
        <v>12000</v>
      </c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</row>
    <row r="33" spans="1:17" ht="20.149999999999999" customHeight="1">
      <c r="A33" s="81">
        <v>30</v>
      </c>
      <c r="B33" s="81">
        <v>121072</v>
      </c>
      <c r="C33" s="81" t="s">
        <v>79</v>
      </c>
      <c r="D33" s="101" t="s">
        <v>77</v>
      </c>
      <c r="E33" s="105">
        <v>12000</v>
      </c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</row>
    <row r="34" spans="1:17" ht="20.149999999999999" customHeight="1">
      <c r="A34" s="81">
        <v>31</v>
      </c>
      <c r="B34" s="81">
        <v>120450</v>
      </c>
      <c r="C34" s="81" t="s">
        <v>82</v>
      </c>
      <c r="D34" s="101" t="s">
        <v>77</v>
      </c>
      <c r="E34" s="105">
        <v>12000</v>
      </c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</row>
    <row r="35" spans="1:17" ht="20.149999999999999" customHeight="1">
      <c r="A35" s="81">
        <v>32</v>
      </c>
      <c r="B35" s="81">
        <v>121200</v>
      </c>
      <c r="C35" s="81" t="s">
        <v>84</v>
      </c>
      <c r="D35" s="101" t="s">
        <v>77</v>
      </c>
      <c r="E35" s="105">
        <v>12000</v>
      </c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</row>
    <row r="36" spans="1:17" ht="20.149999999999999" customHeight="1">
      <c r="A36" s="81">
        <v>33</v>
      </c>
      <c r="B36" s="81">
        <v>120116</v>
      </c>
      <c r="C36" s="81" t="s">
        <v>86</v>
      </c>
      <c r="D36" s="101" t="s">
        <v>77</v>
      </c>
      <c r="E36" s="105">
        <v>12000</v>
      </c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</row>
    <row r="37" spans="1:17" ht="20.149999999999999" customHeight="1">
      <c r="A37" s="81">
        <v>34</v>
      </c>
      <c r="B37" s="81">
        <v>110320</v>
      </c>
      <c r="C37" s="81" t="s">
        <v>90</v>
      </c>
      <c r="D37" s="43" t="s">
        <v>91</v>
      </c>
      <c r="E37" s="105">
        <v>12000</v>
      </c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</row>
    <row r="38" spans="1:17" ht="20.149999999999999" customHeight="1">
      <c r="A38" s="81">
        <v>35</v>
      </c>
      <c r="B38" s="81">
        <v>121063</v>
      </c>
      <c r="C38" s="81" t="s">
        <v>372</v>
      </c>
      <c r="D38" s="43" t="s">
        <v>91</v>
      </c>
      <c r="E38" s="105">
        <v>12000</v>
      </c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</row>
    <row r="39" spans="1:17" ht="20.149999999999999" customHeight="1">
      <c r="A39" s="81">
        <v>36</v>
      </c>
      <c r="B39" s="81">
        <v>120162</v>
      </c>
      <c r="C39" s="81" t="s">
        <v>92</v>
      </c>
      <c r="D39" s="43" t="s">
        <v>91</v>
      </c>
      <c r="E39" s="105">
        <v>12000</v>
      </c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</row>
    <row r="40" spans="1:17" ht="20.149999999999999" customHeight="1">
      <c r="A40" s="81">
        <v>37</v>
      </c>
      <c r="B40" s="81">
        <v>120967</v>
      </c>
      <c r="C40" s="81" t="s">
        <v>93</v>
      </c>
      <c r="D40" s="43" t="s">
        <v>91</v>
      </c>
      <c r="E40" s="105">
        <v>12000</v>
      </c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</row>
    <row r="41" spans="1:17" ht="20.149999999999999" customHeight="1">
      <c r="A41" s="81">
        <v>38</v>
      </c>
      <c r="B41" s="81">
        <v>121048</v>
      </c>
      <c r="C41" s="81" t="s">
        <v>94</v>
      </c>
      <c r="D41" s="43" t="s">
        <v>91</v>
      </c>
      <c r="E41" s="105">
        <v>12000</v>
      </c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</row>
    <row r="42" spans="1:17" ht="20.149999999999999" customHeight="1">
      <c r="A42" s="81">
        <v>39</v>
      </c>
      <c r="B42" s="81">
        <v>121302</v>
      </c>
      <c r="C42" s="81" t="s">
        <v>95</v>
      </c>
      <c r="D42" s="43" t="s">
        <v>91</v>
      </c>
      <c r="E42" s="105">
        <v>12000</v>
      </c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</row>
    <row r="43" spans="1:17" ht="20.149999999999999" customHeight="1">
      <c r="A43" s="81">
        <v>40</v>
      </c>
      <c r="B43" s="81">
        <v>110792</v>
      </c>
      <c r="C43" s="81" t="s">
        <v>96</v>
      </c>
      <c r="D43" s="43" t="s">
        <v>97</v>
      </c>
      <c r="E43" s="105">
        <v>12000</v>
      </c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</row>
    <row r="44" spans="1:17" ht="20.149999999999999" customHeight="1">
      <c r="A44" s="81">
        <v>41</v>
      </c>
      <c r="B44" s="81">
        <v>120185</v>
      </c>
      <c r="C44" s="81" t="s">
        <v>98</v>
      </c>
      <c r="D44" s="43" t="s">
        <v>97</v>
      </c>
      <c r="E44" s="105">
        <v>12000</v>
      </c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</row>
    <row r="45" spans="1:17" ht="20.149999999999999" customHeight="1">
      <c r="A45" s="81">
        <v>42</v>
      </c>
      <c r="B45" s="81">
        <v>120940</v>
      </c>
      <c r="C45" s="81" t="s">
        <v>99</v>
      </c>
      <c r="D45" s="43" t="s">
        <v>97</v>
      </c>
      <c r="E45" s="105">
        <v>12000</v>
      </c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</row>
    <row r="46" spans="1:17" ht="20.149999999999999" customHeight="1">
      <c r="A46" s="81">
        <v>43</v>
      </c>
      <c r="B46" s="81">
        <v>120768</v>
      </c>
      <c r="C46" s="81" t="s">
        <v>100</v>
      </c>
      <c r="D46" s="43" t="s">
        <v>101</v>
      </c>
      <c r="E46" s="105">
        <v>12000</v>
      </c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</row>
    <row r="47" spans="1:17" ht="20.149999999999999" customHeight="1">
      <c r="A47" s="81">
        <v>44</v>
      </c>
      <c r="B47" s="81">
        <v>120887</v>
      </c>
      <c r="C47" s="81" t="s">
        <v>102</v>
      </c>
      <c r="D47" s="43" t="s">
        <v>101</v>
      </c>
      <c r="E47" s="105">
        <v>12000</v>
      </c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</row>
    <row r="48" spans="1:17" ht="20.149999999999999" customHeight="1">
      <c r="A48" s="81">
        <v>45</v>
      </c>
      <c r="B48" s="81">
        <v>120980</v>
      </c>
      <c r="C48" s="81" t="s">
        <v>103</v>
      </c>
      <c r="D48" s="43" t="s">
        <v>101</v>
      </c>
      <c r="E48" s="105">
        <v>12000</v>
      </c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</row>
    <row r="49" spans="1:17" ht="20.149999999999999" customHeight="1">
      <c r="A49" s="81">
        <v>46</v>
      </c>
      <c r="B49" s="81">
        <v>120871</v>
      </c>
      <c r="C49" s="81" t="s">
        <v>104</v>
      </c>
      <c r="D49" s="43" t="s">
        <v>105</v>
      </c>
      <c r="E49" s="105">
        <v>12000</v>
      </c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</row>
    <row r="50" spans="1:17" ht="20.149999999999999" customHeight="1">
      <c r="A50" s="81">
        <v>47</v>
      </c>
      <c r="B50" s="81">
        <v>120321</v>
      </c>
      <c r="C50" s="81" t="s">
        <v>106</v>
      </c>
      <c r="D50" s="43" t="s">
        <v>105</v>
      </c>
      <c r="E50" s="105">
        <v>12000</v>
      </c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</row>
    <row r="51" spans="1:17" ht="20.149999999999999" customHeight="1">
      <c r="A51" s="81">
        <v>48</v>
      </c>
      <c r="B51" s="81">
        <v>120640</v>
      </c>
      <c r="C51" s="81" t="s">
        <v>107</v>
      </c>
      <c r="D51" s="43" t="s">
        <v>105</v>
      </c>
      <c r="E51" s="105">
        <v>12000</v>
      </c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</row>
    <row r="52" spans="1:17" ht="20.149999999999999" customHeight="1">
      <c r="A52" s="81">
        <v>49</v>
      </c>
      <c r="B52" s="81">
        <v>120822</v>
      </c>
      <c r="C52" s="81" t="s">
        <v>108</v>
      </c>
      <c r="D52" s="46" t="s">
        <v>109</v>
      </c>
      <c r="E52" s="105">
        <v>12000</v>
      </c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</row>
    <row r="53" spans="1:17" ht="20.149999999999999" customHeight="1">
      <c r="A53" s="81">
        <v>50</v>
      </c>
      <c r="B53" s="81">
        <v>120524</v>
      </c>
      <c r="C53" s="81" t="s">
        <v>110</v>
      </c>
      <c r="D53" s="46" t="s">
        <v>109</v>
      </c>
      <c r="E53" s="105">
        <v>12000</v>
      </c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</row>
    <row r="54" spans="1:17" ht="20.149999999999999" customHeight="1">
      <c r="A54" s="81">
        <v>51</v>
      </c>
      <c r="B54" s="81">
        <v>120143</v>
      </c>
      <c r="C54" s="81" t="s">
        <v>111</v>
      </c>
      <c r="D54" s="46" t="s">
        <v>109</v>
      </c>
      <c r="E54" s="105">
        <v>12000</v>
      </c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</row>
    <row r="55" spans="1:17" ht="20.149999999999999" customHeight="1">
      <c r="A55" s="81">
        <v>52</v>
      </c>
      <c r="B55" s="81">
        <v>121095</v>
      </c>
      <c r="C55" s="81" t="s">
        <v>112</v>
      </c>
      <c r="D55" s="46" t="s">
        <v>109</v>
      </c>
      <c r="E55" s="105">
        <v>12000</v>
      </c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</row>
    <row r="56" spans="1:17" ht="20.149999999999999" customHeight="1">
      <c r="A56" s="81">
        <v>53</v>
      </c>
      <c r="B56" s="81">
        <v>120001</v>
      </c>
      <c r="C56" s="81" t="s">
        <v>113</v>
      </c>
      <c r="D56" s="46" t="s">
        <v>109</v>
      </c>
      <c r="E56" s="105">
        <v>12000</v>
      </c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</row>
    <row r="57" spans="1:17" ht="20.149999999999999" customHeight="1">
      <c r="A57" s="81">
        <v>54</v>
      </c>
      <c r="B57" s="81">
        <v>120886</v>
      </c>
      <c r="C57" s="81" t="s">
        <v>114</v>
      </c>
      <c r="D57" s="46" t="s">
        <v>109</v>
      </c>
      <c r="E57" s="105">
        <v>12000</v>
      </c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</row>
    <row r="58" spans="1:17" ht="20.149999999999999" customHeight="1">
      <c r="A58" s="81">
        <v>55</v>
      </c>
      <c r="B58" s="81">
        <v>120699</v>
      </c>
      <c r="C58" s="81" t="s">
        <v>115</v>
      </c>
      <c r="D58" s="46" t="s">
        <v>109</v>
      </c>
      <c r="E58" s="105">
        <v>12000</v>
      </c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</row>
    <row r="59" spans="1:17" ht="20.149999999999999" customHeight="1">
      <c r="A59" s="81">
        <v>56</v>
      </c>
      <c r="B59" s="81">
        <v>110970</v>
      </c>
      <c r="C59" s="81" t="s">
        <v>116</v>
      </c>
      <c r="D59" s="46" t="s">
        <v>109</v>
      </c>
      <c r="E59" s="105">
        <v>12000</v>
      </c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</row>
    <row r="60" spans="1:17" ht="23">
      <c r="A60" s="81">
        <v>57</v>
      </c>
      <c r="B60" s="81">
        <v>311064</v>
      </c>
      <c r="C60" s="81" t="s">
        <v>118</v>
      </c>
      <c r="D60" s="43" t="s">
        <v>119</v>
      </c>
      <c r="E60" s="81"/>
      <c r="F60" s="105">
        <v>400</v>
      </c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</row>
    <row r="61" spans="1:17" ht="23">
      <c r="A61" s="81">
        <v>58</v>
      </c>
      <c r="B61" s="81">
        <v>210945</v>
      </c>
      <c r="C61" s="81" t="s">
        <v>120</v>
      </c>
      <c r="D61" s="43" t="s">
        <v>119</v>
      </c>
      <c r="E61" s="81"/>
      <c r="F61" s="105">
        <v>400</v>
      </c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</row>
    <row r="62" spans="1:17" ht="23">
      <c r="A62" s="81">
        <v>59</v>
      </c>
      <c r="B62" s="81">
        <v>210629</v>
      </c>
      <c r="C62" s="81" t="s">
        <v>121</v>
      </c>
      <c r="D62" s="40" t="s">
        <v>119</v>
      </c>
      <c r="E62" s="81"/>
      <c r="F62" s="105">
        <v>400</v>
      </c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</row>
    <row r="63" spans="1:17" ht="23">
      <c r="A63" s="81">
        <v>60</v>
      </c>
      <c r="B63" s="81">
        <v>310954</v>
      </c>
      <c r="C63" s="81" t="s">
        <v>122</v>
      </c>
      <c r="D63" s="40" t="s">
        <v>119</v>
      </c>
      <c r="E63" s="81"/>
      <c r="F63" s="105">
        <v>400</v>
      </c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</row>
    <row r="64" spans="1:17" ht="23">
      <c r="A64" s="81">
        <v>61</v>
      </c>
      <c r="B64" s="81">
        <v>310956</v>
      </c>
      <c r="C64" s="81" t="s">
        <v>123</v>
      </c>
      <c r="D64" s="40" t="s">
        <v>119</v>
      </c>
      <c r="E64" s="81"/>
      <c r="F64" s="105">
        <v>400</v>
      </c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</row>
    <row r="65" spans="1:17" ht="23">
      <c r="A65" s="81">
        <v>62</v>
      </c>
      <c r="B65" s="81">
        <v>210991</v>
      </c>
      <c r="C65" s="81" t="s">
        <v>124</v>
      </c>
      <c r="D65" s="40" t="s">
        <v>119</v>
      </c>
      <c r="E65" s="81"/>
      <c r="F65" s="105">
        <v>400</v>
      </c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</row>
    <row r="66" spans="1:17" ht="23">
      <c r="A66" s="81">
        <v>63</v>
      </c>
      <c r="B66" s="81">
        <v>311027</v>
      </c>
      <c r="C66" s="81" t="s">
        <v>125</v>
      </c>
      <c r="D66" s="40" t="s">
        <v>119</v>
      </c>
      <c r="E66" s="81"/>
      <c r="F66" s="105">
        <v>400</v>
      </c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</row>
    <row r="67" spans="1:17" ht="23">
      <c r="A67" s="81">
        <v>64</v>
      </c>
      <c r="B67" s="81">
        <v>311029</v>
      </c>
      <c r="C67" s="81" t="s">
        <v>126</v>
      </c>
      <c r="D67" s="40" t="s">
        <v>119</v>
      </c>
      <c r="E67" s="81"/>
      <c r="F67" s="105">
        <v>400</v>
      </c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</row>
    <row r="68" spans="1:17" ht="23">
      <c r="A68" s="81">
        <v>65</v>
      </c>
      <c r="B68" s="81">
        <v>210542</v>
      </c>
      <c r="C68" s="81" t="s">
        <v>127</v>
      </c>
      <c r="D68" s="40" t="s">
        <v>119</v>
      </c>
      <c r="E68" s="81"/>
      <c r="F68" s="105">
        <v>400</v>
      </c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</row>
    <row r="69" spans="1:17" ht="23">
      <c r="A69" s="81">
        <v>66</v>
      </c>
      <c r="B69" s="81">
        <v>311028</v>
      </c>
      <c r="C69" s="81" t="s">
        <v>128</v>
      </c>
      <c r="D69" s="40" t="s">
        <v>119</v>
      </c>
      <c r="E69" s="81"/>
      <c r="F69" s="105">
        <v>400</v>
      </c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</row>
    <row r="70" spans="1:17" ht="23">
      <c r="A70" s="81">
        <v>67</v>
      </c>
      <c r="B70" s="81">
        <v>310973</v>
      </c>
      <c r="C70" s="81" t="s">
        <v>129</v>
      </c>
      <c r="D70" s="40" t="s">
        <v>119</v>
      </c>
      <c r="E70" s="81"/>
      <c r="F70" s="105">
        <v>400</v>
      </c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</row>
    <row r="71" spans="1:17" ht="23">
      <c r="A71" s="81">
        <v>68</v>
      </c>
      <c r="B71" s="81">
        <v>210041</v>
      </c>
      <c r="C71" s="81" t="s">
        <v>130</v>
      </c>
      <c r="D71" s="40" t="s">
        <v>119</v>
      </c>
      <c r="E71" s="81"/>
      <c r="F71" s="105">
        <v>400</v>
      </c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</row>
    <row r="72" spans="1:17" ht="23">
      <c r="A72" s="81">
        <v>69</v>
      </c>
      <c r="B72" s="81">
        <v>210752</v>
      </c>
      <c r="C72" s="81" t="s">
        <v>369</v>
      </c>
      <c r="D72" s="40" t="s">
        <v>119</v>
      </c>
      <c r="E72" s="81"/>
      <c r="F72" s="105">
        <v>400</v>
      </c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</row>
    <row r="73" spans="1:17" ht="23">
      <c r="A73" s="81">
        <v>70</v>
      </c>
      <c r="B73" s="81">
        <v>210165</v>
      </c>
      <c r="C73" s="81" t="s">
        <v>131</v>
      </c>
      <c r="D73" s="40" t="s">
        <v>119</v>
      </c>
      <c r="E73" s="81"/>
      <c r="F73" s="105">
        <v>400</v>
      </c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</row>
    <row r="74" spans="1:17" ht="23">
      <c r="A74" s="81">
        <v>71</v>
      </c>
      <c r="B74" s="81">
        <v>310953</v>
      </c>
      <c r="C74" s="81" t="s">
        <v>132</v>
      </c>
      <c r="D74" s="43" t="s">
        <v>119</v>
      </c>
      <c r="E74" s="81"/>
      <c r="F74" s="105">
        <v>400</v>
      </c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</row>
    <row r="75" spans="1:17" ht="23">
      <c r="A75" s="81">
        <v>72</v>
      </c>
      <c r="B75" s="81">
        <v>310955</v>
      </c>
      <c r="C75" s="81" t="s">
        <v>133</v>
      </c>
      <c r="D75" s="40" t="s">
        <v>119</v>
      </c>
      <c r="E75" s="81"/>
      <c r="F75" s="105">
        <v>400</v>
      </c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</row>
    <row r="76" spans="1:17" ht="23">
      <c r="A76" s="81">
        <v>73</v>
      </c>
      <c r="B76" s="81">
        <v>120765</v>
      </c>
      <c r="C76" s="81" t="s">
        <v>134</v>
      </c>
      <c r="D76" s="40" t="s">
        <v>119</v>
      </c>
      <c r="E76" s="81"/>
      <c r="F76" s="105">
        <v>400</v>
      </c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</row>
    <row r="77" spans="1:17" ht="23">
      <c r="A77" s="81">
        <v>74</v>
      </c>
      <c r="B77" s="81">
        <v>220937</v>
      </c>
      <c r="C77" s="81" t="s">
        <v>365</v>
      </c>
      <c r="D77" s="40" t="s">
        <v>119</v>
      </c>
      <c r="E77" s="81"/>
      <c r="F77" s="105">
        <v>400</v>
      </c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</row>
    <row r="78" spans="1:17" ht="23">
      <c r="A78" s="81">
        <v>75</v>
      </c>
      <c r="B78" s="81">
        <v>120171</v>
      </c>
      <c r="C78" s="81" t="s">
        <v>135</v>
      </c>
      <c r="D78" s="40" t="s">
        <v>119</v>
      </c>
      <c r="E78" s="81"/>
      <c r="F78" s="105">
        <v>400</v>
      </c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</row>
    <row r="79" spans="1:17" ht="23">
      <c r="A79" s="81">
        <v>76</v>
      </c>
      <c r="B79" s="81">
        <v>120628</v>
      </c>
      <c r="C79" s="81" t="s">
        <v>136</v>
      </c>
      <c r="D79" s="40" t="s">
        <v>119</v>
      </c>
      <c r="E79" s="81"/>
      <c r="F79" s="105">
        <v>400</v>
      </c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</row>
    <row r="80" spans="1:17" ht="23">
      <c r="A80" s="81">
        <v>77</v>
      </c>
      <c r="B80" s="81">
        <v>220340</v>
      </c>
      <c r="C80" s="81" t="s">
        <v>137</v>
      </c>
      <c r="D80" s="40" t="s">
        <v>119</v>
      </c>
      <c r="E80" s="81"/>
      <c r="F80" s="105">
        <v>400</v>
      </c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</row>
    <row r="81" spans="1:17" ht="23">
      <c r="A81" s="81">
        <v>78</v>
      </c>
      <c r="B81" s="81">
        <v>320952</v>
      </c>
      <c r="C81" s="81" t="s">
        <v>138</v>
      </c>
      <c r="D81" s="43" t="s">
        <v>119</v>
      </c>
      <c r="E81" s="81"/>
      <c r="F81" s="105">
        <v>400</v>
      </c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</row>
    <row r="82" spans="1:17" ht="23">
      <c r="A82" s="81">
        <v>79</v>
      </c>
      <c r="B82" s="81">
        <v>221020</v>
      </c>
      <c r="C82" s="81" t="s">
        <v>140</v>
      </c>
      <c r="D82" s="40" t="s">
        <v>119</v>
      </c>
      <c r="E82" s="81"/>
      <c r="F82" s="105">
        <v>400</v>
      </c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</row>
    <row r="83" spans="1:17" ht="23">
      <c r="A83" s="81">
        <v>81</v>
      </c>
      <c r="B83" s="81">
        <v>121305</v>
      </c>
      <c r="C83" s="81" t="s">
        <v>141</v>
      </c>
      <c r="D83" s="40" t="s">
        <v>119</v>
      </c>
      <c r="E83" s="81"/>
      <c r="F83" s="105">
        <v>400</v>
      </c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</row>
    <row r="84" spans="1:17" ht="23">
      <c r="A84" s="81">
        <v>82</v>
      </c>
      <c r="B84" s="81">
        <v>220810</v>
      </c>
      <c r="C84" s="81" t="s">
        <v>142</v>
      </c>
      <c r="D84" s="40" t="s">
        <v>119</v>
      </c>
      <c r="E84" s="81"/>
      <c r="F84" s="105">
        <v>400</v>
      </c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</row>
    <row r="85" spans="1:17" ht="23">
      <c r="A85" s="81">
        <v>83</v>
      </c>
      <c r="B85" s="81">
        <v>220040</v>
      </c>
      <c r="C85" s="81" t="s">
        <v>143</v>
      </c>
      <c r="D85" s="40" t="s">
        <v>119</v>
      </c>
      <c r="E85" s="81"/>
      <c r="F85" s="105">
        <v>400</v>
      </c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</row>
    <row r="86" spans="1:17" ht="23">
      <c r="A86" s="81">
        <v>84</v>
      </c>
      <c r="B86" s="81">
        <v>220169</v>
      </c>
      <c r="C86" s="81" t="s">
        <v>144</v>
      </c>
      <c r="D86" s="40" t="s">
        <v>119</v>
      </c>
      <c r="E86" s="81"/>
      <c r="F86" s="105">
        <v>400</v>
      </c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</row>
    <row r="87" spans="1:17" ht="23">
      <c r="A87" s="81">
        <v>85</v>
      </c>
      <c r="B87" s="81">
        <v>120058</v>
      </c>
      <c r="C87" s="81" t="s">
        <v>145</v>
      </c>
      <c r="D87" s="40" t="s">
        <v>119</v>
      </c>
      <c r="E87" s="81"/>
      <c r="F87" s="105">
        <v>400</v>
      </c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</row>
    <row r="88" spans="1:17" ht="23">
      <c r="A88" s="81">
        <v>86</v>
      </c>
      <c r="B88" s="81">
        <v>220743</v>
      </c>
      <c r="C88" s="81" t="s">
        <v>146</v>
      </c>
      <c r="D88" s="40" t="s">
        <v>119</v>
      </c>
      <c r="E88" s="81"/>
      <c r="F88" s="105">
        <v>400</v>
      </c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</row>
    <row r="89" spans="1:17" ht="23">
      <c r="A89" s="81">
        <v>87</v>
      </c>
      <c r="B89" s="81">
        <v>321093</v>
      </c>
      <c r="C89" s="81" t="s">
        <v>147</v>
      </c>
      <c r="D89" s="40" t="s">
        <v>119</v>
      </c>
      <c r="E89" s="81"/>
      <c r="F89" s="105">
        <v>400</v>
      </c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</row>
    <row r="90" spans="1:17" ht="23">
      <c r="A90" s="81">
        <v>88</v>
      </c>
      <c r="B90" s="81">
        <v>120157</v>
      </c>
      <c r="C90" s="81" t="s">
        <v>148</v>
      </c>
      <c r="D90" s="40" t="s">
        <v>119</v>
      </c>
      <c r="E90" s="81"/>
      <c r="F90" s="105">
        <v>400</v>
      </c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</row>
    <row r="91" spans="1:17" ht="20.149999999999999" customHeight="1">
      <c r="A91" s="81">
        <v>89</v>
      </c>
      <c r="B91" s="81">
        <v>120042</v>
      </c>
      <c r="C91" s="81" t="s">
        <v>149</v>
      </c>
      <c r="D91" s="40" t="s">
        <v>150</v>
      </c>
      <c r="E91" s="105">
        <v>12000</v>
      </c>
      <c r="F91" s="105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</row>
    <row r="92" spans="1:17" ht="20.149999999999999" customHeight="1">
      <c r="A92" s="81">
        <v>90</v>
      </c>
      <c r="B92" s="81">
        <v>121043</v>
      </c>
      <c r="C92" s="81" t="s">
        <v>151</v>
      </c>
      <c r="D92" s="40" t="s">
        <v>150</v>
      </c>
      <c r="E92" s="105">
        <v>12000</v>
      </c>
      <c r="F92" s="105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</row>
    <row r="93" spans="1:17" ht="20.149999999999999" customHeight="1">
      <c r="A93" s="81">
        <v>91</v>
      </c>
      <c r="B93" s="81">
        <v>121044</v>
      </c>
      <c r="C93" s="81" t="s">
        <v>152</v>
      </c>
      <c r="D93" s="43" t="s">
        <v>150</v>
      </c>
      <c r="E93" s="105">
        <v>12000</v>
      </c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</row>
    <row r="94" spans="1:17" ht="20.149999999999999" customHeight="1">
      <c r="A94" s="81">
        <v>92</v>
      </c>
      <c r="B94" s="81">
        <v>121074</v>
      </c>
      <c r="C94" s="81" t="s">
        <v>153</v>
      </c>
      <c r="D94" s="43" t="s">
        <v>150</v>
      </c>
      <c r="E94" s="105">
        <v>12000</v>
      </c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</row>
    <row r="95" spans="1:17" ht="20.149999999999999" customHeight="1">
      <c r="A95" s="81">
        <v>93</v>
      </c>
      <c r="B95" s="81">
        <v>121059</v>
      </c>
      <c r="C95" s="81" t="s">
        <v>154</v>
      </c>
      <c r="D95" s="43" t="s">
        <v>150</v>
      </c>
      <c r="E95" s="105">
        <v>12000</v>
      </c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</row>
    <row r="96" spans="1:17" ht="20.149999999999999" customHeight="1">
      <c r="A96" s="81">
        <v>94</v>
      </c>
      <c r="B96" s="81">
        <v>121024</v>
      </c>
      <c r="C96" s="81" t="s">
        <v>155</v>
      </c>
      <c r="D96" s="43" t="s">
        <v>150</v>
      </c>
      <c r="E96" s="105">
        <v>12000</v>
      </c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</row>
    <row r="97" spans="1:17" ht="20.149999999999999" customHeight="1">
      <c r="A97" s="81">
        <v>95</v>
      </c>
      <c r="B97" s="81">
        <v>111079</v>
      </c>
      <c r="C97" s="81" t="s">
        <v>156</v>
      </c>
      <c r="D97" s="43" t="s">
        <v>157</v>
      </c>
      <c r="E97" s="105">
        <v>12000</v>
      </c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</row>
    <row r="98" spans="1:17" ht="20.149999999999999" customHeight="1">
      <c r="A98" s="81">
        <v>96</v>
      </c>
      <c r="B98" s="81">
        <v>121032</v>
      </c>
      <c r="C98" s="81" t="s">
        <v>158</v>
      </c>
      <c r="D98" s="43" t="s">
        <v>157</v>
      </c>
      <c r="E98" s="105">
        <v>12000</v>
      </c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</row>
    <row r="99" spans="1:17" ht="20.149999999999999" customHeight="1">
      <c r="A99" s="81">
        <v>97</v>
      </c>
      <c r="B99" s="81">
        <v>121033</v>
      </c>
      <c r="C99" s="81" t="s">
        <v>159</v>
      </c>
      <c r="D99" s="43" t="s">
        <v>157</v>
      </c>
      <c r="E99" s="105">
        <v>12000</v>
      </c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</row>
    <row r="100" spans="1:17" ht="20.149999999999999" customHeight="1">
      <c r="A100" s="81">
        <v>98</v>
      </c>
      <c r="B100" s="81">
        <v>121035</v>
      </c>
      <c r="C100" s="81" t="s">
        <v>160</v>
      </c>
      <c r="D100" s="43" t="s">
        <v>157</v>
      </c>
      <c r="E100" s="105">
        <v>12000</v>
      </c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</row>
    <row r="101" spans="1:17" ht="20.149999999999999" customHeight="1">
      <c r="A101" s="81">
        <v>99</v>
      </c>
      <c r="B101" s="81">
        <v>121036</v>
      </c>
      <c r="C101" s="81" t="s">
        <v>161</v>
      </c>
      <c r="D101" s="43" t="s">
        <v>157</v>
      </c>
      <c r="E101" s="105">
        <v>12000</v>
      </c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</row>
    <row r="102" spans="1:17" ht="20.149999999999999" customHeight="1">
      <c r="A102" s="81">
        <v>100</v>
      </c>
      <c r="B102" s="81">
        <v>121037</v>
      </c>
      <c r="C102" s="81" t="s">
        <v>162</v>
      </c>
      <c r="D102" s="43" t="s">
        <v>157</v>
      </c>
      <c r="E102" s="105">
        <v>12000</v>
      </c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</row>
    <row r="103" spans="1:17" ht="20.149999999999999" customHeight="1">
      <c r="A103" s="81">
        <v>101</v>
      </c>
      <c r="B103" s="81">
        <v>121038</v>
      </c>
      <c r="C103" s="81" t="s">
        <v>163</v>
      </c>
      <c r="D103" s="43" t="s">
        <v>157</v>
      </c>
      <c r="E103" s="105">
        <v>12000</v>
      </c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</row>
    <row r="104" spans="1:17" ht="20.149999999999999" customHeight="1">
      <c r="A104" s="81">
        <v>102</v>
      </c>
      <c r="B104" s="81">
        <v>121096</v>
      </c>
      <c r="C104" s="81" t="s">
        <v>164</v>
      </c>
      <c r="D104" s="43" t="s">
        <v>157</v>
      </c>
      <c r="E104" s="105">
        <v>12000</v>
      </c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</row>
    <row r="105" spans="1:17" ht="20.149999999999999" customHeight="1">
      <c r="A105" s="81">
        <v>103</v>
      </c>
      <c r="B105" s="81">
        <v>121202</v>
      </c>
      <c r="C105" s="81" t="s">
        <v>165</v>
      </c>
      <c r="D105" s="43" t="s">
        <v>166</v>
      </c>
      <c r="E105" s="105">
        <v>12000</v>
      </c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</row>
    <row r="106" spans="1:17" ht="20.149999999999999" customHeight="1">
      <c r="A106" s="81">
        <v>104</v>
      </c>
      <c r="B106" s="81">
        <v>121203</v>
      </c>
      <c r="C106" s="81" t="s">
        <v>167</v>
      </c>
      <c r="D106" s="43" t="s">
        <v>166</v>
      </c>
      <c r="E106" s="105">
        <v>12000</v>
      </c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</row>
    <row r="107" spans="1:17" ht="20.149999999999999" customHeight="1">
      <c r="A107" s="81">
        <v>105</v>
      </c>
      <c r="B107" s="81">
        <v>121204</v>
      </c>
      <c r="C107" s="81" t="s">
        <v>168</v>
      </c>
      <c r="D107" s="43" t="s">
        <v>166</v>
      </c>
      <c r="E107" s="105">
        <v>12000</v>
      </c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</row>
    <row r="108" spans="1:17" ht="20.149999999999999" customHeight="1">
      <c r="A108" s="81">
        <v>106</v>
      </c>
      <c r="B108" s="81">
        <v>110921</v>
      </c>
      <c r="C108" s="81" t="s">
        <v>169</v>
      </c>
      <c r="D108" s="43" t="s">
        <v>170</v>
      </c>
      <c r="E108" s="105">
        <v>12000</v>
      </c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</row>
    <row r="109" spans="1:17" ht="20.149999999999999" customHeight="1">
      <c r="A109" s="81">
        <v>107</v>
      </c>
      <c r="B109" s="81">
        <v>111086</v>
      </c>
      <c r="C109" s="81" t="s">
        <v>171</v>
      </c>
      <c r="D109" s="43" t="s">
        <v>170</v>
      </c>
      <c r="E109" s="105">
        <v>12000</v>
      </c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</row>
    <row r="110" spans="1:17" ht="20.149999999999999" customHeight="1">
      <c r="A110" s="81">
        <v>108</v>
      </c>
      <c r="B110" s="81">
        <v>420659</v>
      </c>
      <c r="C110" s="81" t="s">
        <v>172</v>
      </c>
      <c r="D110" s="43" t="s">
        <v>170</v>
      </c>
      <c r="E110" s="105">
        <v>12000</v>
      </c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</row>
    <row r="111" spans="1:17" ht="20.149999999999999" customHeight="1">
      <c r="A111" s="81">
        <v>109</v>
      </c>
      <c r="B111" s="81">
        <v>120995</v>
      </c>
      <c r="C111" s="81" t="s">
        <v>174</v>
      </c>
      <c r="D111" s="43" t="s">
        <v>170</v>
      </c>
      <c r="E111" s="105">
        <v>12000</v>
      </c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</row>
    <row r="112" spans="1:17" ht="20.149999999999999" customHeight="1">
      <c r="A112" s="81">
        <v>110</v>
      </c>
      <c r="B112" s="81">
        <v>120096</v>
      </c>
      <c r="C112" s="81" t="s">
        <v>175</v>
      </c>
      <c r="D112" s="43" t="s">
        <v>170</v>
      </c>
      <c r="E112" s="105">
        <v>12000</v>
      </c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</row>
    <row r="113" spans="1:17" ht="20.149999999999999" customHeight="1">
      <c r="A113" s="81">
        <v>111</v>
      </c>
      <c r="B113" s="81">
        <v>111306</v>
      </c>
      <c r="C113" s="81" t="s">
        <v>176</v>
      </c>
      <c r="D113" s="43" t="s">
        <v>177</v>
      </c>
      <c r="E113" s="105">
        <v>12000</v>
      </c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</row>
    <row r="114" spans="1:17" ht="20.149999999999999" customHeight="1">
      <c r="A114" s="81">
        <v>112</v>
      </c>
      <c r="B114" s="81">
        <v>320957</v>
      </c>
      <c r="C114" s="81" t="s">
        <v>178</v>
      </c>
      <c r="D114" s="43" t="s">
        <v>177</v>
      </c>
      <c r="E114" s="105">
        <v>12000</v>
      </c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</row>
    <row r="115" spans="1:17" ht="20.149999999999999" customHeight="1">
      <c r="A115" s="81">
        <v>113</v>
      </c>
      <c r="B115" s="81">
        <v>121050</v>
      </c>
      <c r="C115" s="81" t="s">
        <v>179</v>
      </c>
      <c r="D115" s="43" t="s">
        <v>177</v>
      </c>
      <c r="E115" s="105">
        <v>12000</v>
      </c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</row>
    <row r="116" spans="1:17" ht="20.149999999999999" customHeight="1">
      <c r="A116" s="81">
        <v>114</v>
      </c>
      <c r="B116" s="81">
        <v>420769</v>
      </c>
      <c r="C116" s="81" t="s">
        <v>180</v>
      </c>
      <c r="D116" s="43" t="s">
        <v>181</v>
      </c>
      <c r="E116" s="105">
        <v>12000</v>
      </c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</row>
    <row r="117" spans="1:17" ht="20.149999999999999" customHeight="1">
      <c r="A117" s="81">
        <v>115</v>
      </c>
      <c r="B117" s="81">
        <v>121083</v>
      </c>
      <c r="C117" s="81" t="s">
        <v>182</v>
      </c>
      <c r="D117" s="43" t="s">
        <v>181</v>
      </c>
      <c r="E117" s="105">
        <v>12000</v>
      </c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</row>
    <row r="118" spans="1:17" ht="20.149999999999999" customHeight="1">
      <c r="A118" s="81">
        <v>116</v>
      </c>
      <c r="B118" s="81">
        <v>220680</v>
      </c>
      <c r="C118" s="81" t="s">
        <v>183</v>
      </c>
      <c r="D118" s="43" t="s">
        <v>181</v>
      </c>
      <c r="E118" s="105">
        <v>12000</v>
      </c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</row>
    <row r="119" spans="1:17" ht="20.149999999999999" customHeight="1">
      <c r="A119" s="81">
        <v>117</v>
      </c>
      <c r="B119" s="81">
        <v>111082</v>
      </c>
      <c r="C119" s="81" t="s">
        <v>184</v>
      </c>
      <c r="D119" s="43" t="s">
        <v>181</v>
      </c>
      <c r="E119" s="105">
        <v>12000</v>
      </c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</row>
    <row r="120" spans="1:17" ht="20.149999999999999" customHeight="1">
      <c r="A120" s="81">
        <v>118</v>
      </c>
      <c r="B120" s="81">
        <v>211049</v>
      </c>
      <c r="C120" s="81" t="s">
        <v>185</v>
      </c>
      <c r="D120" s="43" t="s">
        <v>186</v>
      </c>
      <c r="E120" s="105">
        <v>12000</v>
      </c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</row>
    <row r="121" spans="1:17" ht="20.149999999999999" customHeight="1">
      <c r="A121" s="81">
        <v>119</v>
      </c>
      <c r="B121" s="81">
        <v>221092</v>
      </c>
      <c r="C121" s="81" t="s">
        <v>187</v>
      </c>
      <c r="D121" s="43" t="s">
        <v>186</v>
      </c>
      <c r="E121" s="105">
        <v>12000</v>
      </c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</row>
    <row r="122" spans="1:17" ht="20.149999999999999" customHeight="1">
      <c r="A122" s="81">
        <v>120</v>
      </c>
      <c r="B122" s="81">
        <v>120527</v>
      </c>
      <c r="C122" s="81" t="s">
        <v>188</v>
      </c>
      <c r="D122" s="43" t="s">
        <v>186</v>
      </c>
      <c r="E122" s="105">
        <v>12000</v>
      </c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</row>
    <row r="123" spans="1:17" ht="20.149999999999999" customHeight="1">
      <c r="A123" s="81">
        <v>121</v>
      </c>
      <c r="B123" s="81">
        <v>120968</v>
      </c>
      <c r="C123" s="81" t="s">
        <v>189</v>
      </c>
      <c r="D123" s="43" t="s">
        <v>186</v>
      </c>
      <c r="E123" s="105">
        <v>12000</v>
      </c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</row>
    <row r="124" spans="1:17" ht="20.149999999999999" customHeight="1">
      <c r="A124" s="81">
        <v>122</v>
      </c>
      <c r="B124" s="81">
        <v>110618</v>
      </c>
      <c r="C124" s="81" t="s">
        <v>190</v>
      </c>
      <c r="D124" s="43" t="s">
        <v>191</v>
      </c>
      <c r="E124" s="105">
        <v>12000</v>
      </c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</row>
    <row r="125" spans="1:17" ht="20.149999999999999" customHeight="1">
      <c r="A125" s="81">
        <v>123</v>
      </c>
      <c r="B125" s="81">
        <v>120412</v>
      </c>
      <c r="C125" s="81" t="s">
        <v>371</v>
      </c>
      <c r="D125" s="43" t="s">
        <v>191</v>
      </c>
      <c r="E125" s="105">
        <v>12000</v>
      </c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</row>
    <row r="126" spans="1:17" ht="20.149999999999999" customHeight="1">
      <c r="A126" s="81">
        <v>124</v>
      </c>
      <c r="B126" s="81">
        <v>111103</v>
      </c>
      <c r="C126" s="81" t="s">
        <v>192</v>
      </c>
      <c r="D126" s="43" t="s">
        <v>193</v>
      </c>
      <c r="E126" s="105">
        <v>12000</v>
      </c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</row>
    <row r="127" spans="1:17" ht="20.149999999999999" customHeight="1">
      <c r="A127" s="81">
        <v>125</v>
      </c>
      <c r="B127" s="81">
        <v>111030</v>
      </c>
      <c r="C127" s="81" t="s">
        <v>194</v>
      </c>
      <c r="D127" s="43" t="s">
        <v>193</v>
      </c>
      <c r="E127" s="105">
        <v>12000</v>
      </c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</row>
    <row r="128" spans="1:17" ht="20.149999999999999" customHeight="1">
      <c r="A128" s="81">
        <v>126</v>
      </c>
      <c r="B128" s="81">
        <v>111078</v>
      </c>
      <c r="C128" s="81" t="s">
        <v>368</v>
      </c>
      <c r="D128" s="43" t="s">
        <v>193</v>
      </c>
      <c r="E128" s="105">
        <v>12000</v>
      </c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</row>
    <row r="129" spans="1:17" ht="20.149999999999999" customHeight="1">
      <c r="A129" s="81">
        <v>127</v>
      </c>
      <c r="B129" s="81">
        <v>121090</v>
      </c>
      <c r="C129" s="81" t="s">
        <v>195</v>
      </c>
      <c r="D129" s="43" t="s">
        <v>193</v>
      </c>
      <c r="E129" s="105">
        <v>12000</v>
      </c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</row>
    <row r="130" spans="1:17" ht="20.149999999999999" customHeight="1">
      <c r="A130" s="81">
        <v>128</v>
      </c>
      <c r="B130" s="81">
        <v>121088</v>
      </c>
      <c r="C130" s="81" t="s">
        <v>196</v>
      </c>
      <c r="D130" s="43" t="s">
        <v>193</v>
      </c>
      <c r="E130" s="105">
        <v>12000</v>
      </c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</row>
    <row r="131" spans="1:17" ht="20.149999999999999" customHeight="1">
      <c r="A131" s="81">
        <v>129</v>
      </c>
      <c r="B131" s="81">
        <v>121006</v>
      </c>
      <c r="C131" s="81" t="s">
        <v>197</v>
      </c>
      <c r="D131" s="43" t="s">
        <v>193</v>
      </c>
      <c r="E131" s="105">
        <v>12000</v>
      </c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</row>
    <row r="132" spans="1:17" ht="20.149999999999999" customHeight="1">
      <c r="A132" s="81">
        <v>130</v>
      </c>
      <c r="B132" s="81">
        <v>121089</v>
      </c>
      <c r="C132" s="81" t="s">
        <v>198</v>
      </c>
      <c r="D132" s="43" t="s">
        <v>193</v>
      </c>
      <c r="E132" s="105">
        <v>12000</v>
      </c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</row>
    <row r="133" spans="1:17" ht="20.149999999999999" customHeight="1">
      <c r="A133" s="81">
        <v>131</v>
      </c>
      <c r="B133" s="81">
        <v>121023</v>
      </c>
      <c r="C133" s="81" t="s">
        <v>199</v>
      </c>
      <c r="D133" s="43" t="s">
        <v>193</v>
      </c>
      <c r="E133" s="105">
        <v>12000</v>
      </c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</row>
    <row r="134" spans="1:17" ht="20.149999999999999" customHeight="1">
      <c r="A134" s="81">
        <v>133</v>
      </c>
      <c r="B134" s="81">
        <v>121104</v>
      </c>
      <c r="C134" s="81" t="s">
        <v>200</v>
      </c>
      <c r="D134" s="43" t="s">
        <v>193</v>
      </c>
      <c r="E134" s="105">
        <v>12000</v>
      </c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</row>
    <row r="135" spans="1:17" ht="20.149999999999999" customHeight="1">
      <c r="A135" s="81">
        <v>134</v>
      </c>
      <c r="B135" s="81">
        <v>120336</v>
      </c>
      <c r="C135" s="81" t="s">
        <v>201</v>
      </c>
      <c r="D135" s="43" t="s">
        <v>202</v>
      </c>
      <c r="E135" s="105">
        <v>12000</v>
      </c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</row>
    <row r="136" spans="1:17" ht="20.149999999999999" customHeight="1">
      <c r="A136" s="81">
        <v>135</v>
      </c>
      <c r="B136" s="81">
        <v>120473</v>
      </c>
      <c r="C136" s="81" t="s">
        <v>203</v>
      </c>
      <c r="D136" s="43" t="s">
        <v>202</v>
      </c>
      <c r="E136" s="105">
        <v>12000</v>
      </c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</row>
    <row r="137" spans="1:17" ht="20.149999999999999" customHeight="1">
      <c r="A137" s="81">
        <v>136</v>
      </c>
      <c r="B137" s="81">
        <v>120998</v>
      </c>
      <c r="C137" s="81" t="s">
        <v>204</v>
      </c>
      <c r="D137" s="43" t="s">
        <v>205</v>
      </c>
      <c r="E137" s="105">
        <v>12000</v>
      </c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</row>
    <row r="138" spans="1:17" ht="20.149999999999999" customHeight="1">
      <c r="A138" s="81">
        <v>137</v>
      </c>
      <c r="B138" s="81">
        <v>120007</v>
      </c>
      <c r="C138" s="81" t="s">
        <v>206</v>
      </c>
      <c r="D138" s="43" t="s">
        <v>205</v>
      </c>
      <c r="E138" s="105">
        <v>12000</v>
      </c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</row>
    <row r="139" spans="1:17" ht="20.149999999999999" customHeight="1">
      <c r="A139" s="81">
        <v>138</v>
      </c>
      <c r="B139" s="81">
        <v>120919</v>
      </c>
      <c r="C139" s="81" t="s">
        <v>207</v>
      </c>
      <c r="D139" s="43" t="s">
        <v>208</v>
      </c>
      <c r="E139" s="105">
        <v>12000</v>
      </c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</row>
    <row r="140" spans="1:17" ht="20.149999999999999" customHeight="1">
      <c r="A140" s="81">
        <v>139</v>
      </c>
      <c r="B140" s="81">
        <v>120148</v>
      </c>
      <c r="C140" s="81" t="s">
        <v>209</v>
      </c>
      <c r="D140" s="43" t="s">
        <v>208</v>
      </c>
      <c r="E140" s="105">
        <v>12000</v>
      </c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</row>
    <row r="141" spans="1:17" ht="20.149999999999999" customHeight="1">
      <c r="A141" s="81">
        <v>140</v>
      </c>
      <c r="B141" s="81">
        <v>120436</v>
      </c>
      <c r="C141" s="81" t="s">
        <v>370</v>
      </c>
      <c r="D141" s="43" t="s">
        <v>210</v>
      </c>
      <c r="E141" s="105">
        <v>12000</v>
      </c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</row>
    <row r="142" spans="1:17" ht="20.149999999999999" customHeight="1">
      <c r="A142" s="81">
        <v>141</v>
      </c>
      <c r="B142" s="81">
        <v>120978</v>
      </c>
      <c r="C142" s="81" t="s">
        <v>211</v>
      </c>
      <c r="D142" s="43" t="s">
        <v>210</v>
      </c>
      <c r="E142" s="105">
        <v>12000</v>
      </c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</row>
    <row r="143" spans="1:17" ht="20.149999999999999" customHeight="1">
      <c r="A143" s="81">
        <v>142</v>
      </c>
      <c r="B143" s="81">
        <v>110898</v>
      </c>
      <c r="C143" s="81" t="s">
        <v>212</v>
      </c>
      <c r="D143" s="43" t="s">
        <v>213</v>
      </c>
      <c r="E143" s="105">
        <v>12000</v>
      </c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</row>
    <row r="144" spans="1:17" ht="20.149999999999999" customHeight="1">
      <c r="A144" s="81">
        <v>143</v>
      </c>
      <c r="B144" s="81">
        <v>120102</v>
      </c>
      <c r="C144" s="81" t="s">
        <v>214</v>
      </c>
      <c r="D144" s="43" t="s">
        <v>215</v>
      </c>
      <c r="E144" s="105">
        <v>12000</v>
      </c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</row>
    <row r="145" spans="1:17" ht="20.149999999999999" customHeight="1">
      <c r="A145" s="81">
        <v>144</v>
      </c>
      <c r="B145" s="81">
        <v>120962</v>
      </c>
      <c r="C145" s="81" t="s">
        <v>216</v>
      </c>
      <c r="D145" s="43" t="s">
        <v>217</v>
      </c>
      <c r="E145" s="105">
        <v>12000</v>
      </c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</row>
    <row r="146" spans="1:17" ht="20.149999999999999" customHeight="1">
      <c r="A146" s="81">
        <v>145</v>
      </c>
      <c r="B146" s="81">
        <v>120847</v>
      </c>
      <c r="C146" s="81" t="s">
        <v>218</v>
      </c>
      <c r="D146" s="43" t="s">
        <v>219</v>
      </c>
      <c r="E146" s="105">
        <v>12000</v>
      </c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</row>
    <row r="147" spans="1:17" ht="20.149999999999999" customHeight="1">
      <c r="A147" s="81">
        <v>146</v>
      </c>
      <c r="B147" s="81">
        <v>120910</v>
      </c>
      <c r="C147" s="81" t="s">
        <v>220</v>
      </c>
      <c r="D147" s="43" t="s">
        <v>221</v>
      </c>
      <c r="E147" s="105">
        <v>12000</v>
      </c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</row>
    <row r="148" spans="1:17" ht="20.149999999999999" customHeight="1">
      <c r="A148" s="81">
        <v>147</v>
      </c>
      <c r="B148" s="81">
        <v>120950</v>
      </c>
      <c r="C148" s="81" t="s">
        <v>222</v>
      </c>
      <c r="D148" s="43" t="s">
        <v>223</v>
      </c>
      <c r="E148" s="105">
        <v>12000</v>
      </c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</row>
    <row r="149" spans="1:17" ht="20.149999999999999" customHeight="1">
      <c r="A149" s="81">
        <v>148</v>
      </c>
      <c r="B149" s="81">
        <v>120853</v>
      </c>
      <c r="C149" s="81" t="s">
        <v>224</v>
      </c>
      <c r="D149" s="43" t="s">
        <v>225</v>
      </c>
      <c r="E149" s="105">
        <v>12000</v>
      </c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</row>
    <row r="150" spans="1:17" ht="20.149999999999999" customHeight="1">
      <c r="A150" s="81">
        <v>149</v>
      </c>
      <c r="B150" s="81">
        <v>121091</v>
      </c>
      <c r="C150" s="81" t="s">
        <v>226</v>
      </c>
      <c r="D150" s="43" t="s">
        <v>364</v>
      </c>
      <c r="E150" s="105">
        <v>12000</v>
      </c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</row>
    <row r="151" spans="1:17" ht="20.149999999999999" customHeight="1">
      <c r="A151" s="81">
        <v>150</v>
      </c>
      <c r="B151" s="81">
        <v>121021</v>
      </c>
      <c r="C151" s="81" t="s">
        <v>228</v>
      </c>
      <c r="D151" s="103" t="s">
        <v>229</v>
      </c>
      <c r="E151" s="105">
        <v>12000</v>
      </c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</row>
    <row r="152" spans="1:17" ht="20.149999999999999" customHeight="1">
      <c r="A152" s="81">
        <v>151</v>
      </c>
      <c r="B152" s="81">
        <v>120812</v>
      </c>
      <c r="C152" s="81" t="s">
        <v>230</v>
      </c>
      <c r="D152" s="43" t="s">
        <v>231</v>
      </c>
      <c r="E152" s="105">
        <v>12000</v>
      </c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</row>
    <row r="153" spans="1:17" ht="20.149999999999999" customHeight="1">
      <c r="A153" s="81">
        <v>152</v>
      </c>
      <c r="B153" s="81">
        <v>120928</v>
      </c>
      <c r="C153" s="81" t="s">
        <v>232</v>
      </c>
      <c r="D153" s="43" t="s">
        <v>233</v>
      </c>
      <c r="E153" s="105">
        <v>12000</v>
      </c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</row>
    <row r="154" spans="1:17" ht="20.149999999999999" customHeight="1">
      <c r="D154" s="97"/>
    </row>
    <row r="155" spans="1:17" ht="20.149999999999999" customHeight="1">
      <c r="D155" s="97"/>
    </row>
  </sheetData>
  <autoFilter ref="B3:D155" xr:uid="{0BB9E030-4E48-411D-826E-0BD3BBCAD76D}"/>
  <mergeCells count="2">
    <mergeCell ref="E2:Q2"/>
    <mergeCell ref="R2:U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4C56-5478-4636-A0DA-664FB14B10FF}">
  <dimension ref="A1"/>
  <sheetViews>
    <sheetView workbookViewId="0">
      <selection activeCell="P19" sqref="P19"/>
    </sheetView>
  </sheetViews>
  <sheetFormatPr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0F70-B4C9-42A1-9F56-6F8969018A2F}">
  <dimension ref="A1:O21"/>
  <sheetViews>
    <sheetView zoomScaleNormal="100" workbookViewId="0">
      <selection activeCell="R12" sqref="R12"/>
    </sheetView>
  </sheetViews>
  <sheetFormatPr defaultColWidth="9" defaultRowHeight="20.149999999999999" customHeight="1"/>
  <cols>
    <col min="1" max="1" width="20.26953125" style="50" customWidth="1"/>
    <col min="2" max="2" width="6.7265625" style="50" customWidth="1"/>
    <col min="3" max="3" width="3.7265625" style="50" customWidth="1"/>
    <col min="4" max="4" width="2.26953125" style="50" customWidth="1"/>
    <col min="5" max="5" width="9" style="50"/>
    <col min="6" max="6" width="13" style="50" customWidth="1"/>
    <col min="7" max="7" width="8.26953125" style="50" customWidth="1"/>
    <col min="8" max="8" width="7.81640625" style="50" customWidth="1"/>
    <col min="9" max="9" width="12.81640625" style="50" customWidth="1"/>
    <col min="10" max="10" width="13.1796875" style="50" customWidth="1"/>
    <col min="11" max="16384" width="9" style="50"/>
  </cols>
  <sheetData>
    <row r="1" spans="1:10" ht="20.149999999999999" customHeight="1">
      <c r="B1" s="137" t="s">
        <v>258</v>
      </c>
      <c r="C1" s="124"/>
      <c r="D1" s="124"/>
      <c r="E1" s="124"/>
      <c r="F1" s="124"/>
      <c r="G1" s="124"/>
      <c r="H1" s="124"/>
      <c r="I1" s="124"/>
      <c r="J1" s="109"/>
    </row>
    <row r="2" spans="1:10" ht="20.149999999999999" customHeight="1">
      <c r="B2" s="109" t="s">
        <v>376</v>
      </c>
      <c r="C2" s="109"/>
      <c r="D2" s="109"/>
      <c r="E2" s="109"/>
      <c r="F2" s="109"/>
      <c r="G2" s="109"/>
      <c r="H2" s="109"/>
      <c r="I2" s="109"/>
      <c r="J2" s="109"/>
    </row>
    <row r="3" spans="1:10" ht="20.149999999999999" customHeight="1">
      <c r="A3" s="50" t="s">
        <v>282</v>
      </c>
      <c r="B3" s="125" t="s">
        <v>283</v>
      </c>
      <c r="F3" s="50" t="s">
        <v>288</v>
      </c>
      <c r="G3" s="149">
        <v>42905</v>
      </c>
      <c r="H3" s="149"/>
      <c r="I3" s="50" t="s">
        <v>259</v>
      </c>
      <c r="J3" s="126" t="s">
        <v>260</v>
      </c>
    </row>
    <row r="4" spans="1:10" ht="20.149999999999999" customHeight="1">
      <c r="A4" s="50" t="s">
        <v>261</v>
      </c>
      <c r="B4" s="50" t="s">
        <v>262</v>
      </c>
      <c r="F4" s="50" t="s">
        <v>286</v>
      </c>
      <c r="H4" s="50" t="s">
        <v>287</v>
      </c>
    </row>
    <row r="5" spans="1:10" ht="20.149999999999999" customHeight="1">
      <c r="A5" s="50" t="s">
        <v>284</v>
      </c>
      <c r="B5" s="50" t="s">
        <v>285</v>
      </c>
    </row>
    <row r="6" spans="1:10" ht="20.149999999999999" customHeight="1">
      <c r="A6" s="146" t="s">
        <v>263</v>
      </c>
      <c r="B6" s="147"/>
      <c r="C6" s="147"/>
      <c r="D6" s="147"/>
      <c r="E6" s="147"/>
      <c r="F6" s="148"/>
      <c r="G6" s="146" t="s">
        <v>264</v>
      </c>
      <c r="H6" s="147"/>
      <c r="I6" s="147"/>
      <c r="J6" s="148"/>
    </row>
    <row r="7" spans="1:10" ht="20.149999999999999" customHeight="1">
      <c r="A7" s="54" t="s">
        <v>374</v>
      </c>
      <c r="B7" s="74"/>
      <c r="C7" s="74"/>
      <c r="D7" s="74"/>
      <c r="E7" s="74"/>
      <c r="F7" s="127">
        <v>12000</v>
      </c>
      <c r="G7" s="54" t="s">
        <v>265</v>
      </c>
      <c r="J7" s="56"/>
    </row>
    <row r="8" spans="1:10" ht="20.149999999999999" customHeight="1">
      <c r="A8" s="54" t="s">
        <v>373</v>
      </c>
      <c r="B8" s="74"/>
      <c r="C8" s="74" t="s">
        <v>7</v>
      </c>
      <c r="D8" s="128" t="s">
        <v>266</v>
      </c>
      <c r="E8" s="129">
        <v>400</v>
      </c>
      <c r="F8" s="127"/>
      <c r="G8" s="54" t="s">
        <v>267</v>
      </c>
      <c r="J8" s="127">
        <f>+F7*5%</f>
        <v>600</v>
      </c>
    </row>
    <row r="9" spans="1:10" ht="20.149999999999999" customHeight="1">
      <c r="A9" s="54" t="s">
        <v>375</v>
      </c>
      <c r="B9" s="74"/>
      <c r="C9" s="74"/>
      <c r="D9" s="74"/>
      <c r="E9" s="130"/>
      <c r="F9" s="127">
        <v>930</v>
      </c>
      <c r="G9" s="54" t="s">
        <v>268</v>
      </c>
      <c r="J9" s="127"/>
    </row>
    <row r="10" spans="1:10" ht="20.149999999999999" customHeight="1">
      <c r="A10" s="54" t="s">
        <v>269</v>
      </c>
      <c r="B10" s="74"/>
      <c r="C10" s="74" t="s">
        <v>270</v>
      </c>
      <c r="D10" s="74"/>
      <c r="E10" s="130"/>
      <c r="F10" s="127">
        <f>+B10*75</f>
        <v>0</v>
      </c>
      <c r="G10" s="54" t="s">
        <v>268</v>
      </c>
      <c r="J10" s="127"/>
    </row>
    <row r="11" spans="1:10" ht="20.149999999999999" customHeight="1">
      <c r="A11" s="54" t="s">
        <v>271</v>
      </c>
      <c r="B11" s="74">
        <v>40.5</v>
      </c>
      <c r="C11" s="74" t="s">
        <v>270</v>
      </c>
      <c r="D11" s="74"/>
      <c r="E11" s="130"/>
      <c r="F11" s="127">
        <f>+B11*75</f>
        <v>3037.5</v>
      </c>
      <c r="G11" s="54"/>
      <c r="J11" s="127"/>
    </row>
    <row r="12" spans="1:10" ht="20.149999999999999" customHeight="1">
      <c r="A12" s="54" t="s">
        <v>272</v>
      </c>
      <c r="B12" s="74"/>
      <c r="C12" s="74"/>
      <c r="D12" s="74"/>
      <c r="E12" s="130"/>
      <c r="F12" s="127"/>
      <c r="G12" s="54"/>
      <c r="J12" s="127"/>
    </row>
    <row r="13" spans="1:10" ht="20.149999999999999" customHeight="1">
      <c r="A13" s="54" t="s">
        <v>273</v>
      </c>
      <c r="B13" s="74"/>
      <c r="C13" s="74"/>
      <c r="D13" s="74"/>
      <c r="E13" s="130"/>
      <c r="F13" s="127"/>
      <c r="G13" s="54"/>
      <c r="J13" s="127"/>
    </row>
    <row r="14" spans="1:10" ht="20.149999999999999" customHeight="1">
      <c r="A14" s="54" t="s">
        <v>274</v>
      </c>
      <c r="B14" s="74"/>
      <c r="C14" s="74"/>
      <c r="D14" s="74"/>
      <c r="E14" s="130"/>
      <c r="F14" s="127">
        <v>1000</v>
      </c>
      <c r="G14" s="54"/>
      <c r="J14" s="127"/>
    </row>
    <row r="15" spans="1:10" ht="20.149999999999999" customHeight="1">
      <c r="A15" s="54" t="s">
        <v>275</v>
      </c>
      <c r="B15" s="74"/>
      <c r="C15" s="74"/>
      <c r="D15" s="74"/>
      <c r="E15" s="130"/>
      <c r="F15" s="127"/>
      <c r="G15" s="54"/>
      <c r="J15" s="127"/>
    </row>
    <row r="16" spans="1:10" ht="20.149999999999999" customHeight="1">
      <c r="A16" s="54" t="s">
        <v>276</v>
      </c>
      <c r="B16" s="74"/>
      <c r="C16" s="74"/>
      <c r="D16" s="74"/>
      <c r="E16" s="130"/>
      <c r="F16" s="127"/>
      <c r="G16" s="54"/>
      <c r="J16" s="127"/>
    </row>
    <row r="17" spans="1:15" ht="20.149999999999999" customHeight="1">
      <c r="A17" s="54" t="s">
        <v>277</v>
      </c>
      <c r="B17" s="74"/>
      <c r="C17" s="74"/>
      <c r="D17" s="74"/>
      <c r="E17" s="130"/>
      <c r="F17" s="127"/>
      <c r="G17" s="54"/>
      <c r="J17" s="127"/>
    </row>
    <row r="18" spans="1:15" ht="20.149999999999999" customHeight="1">
      <c r="A18" s="59" t="s">
        <v>278</v>
      </c>
      <c r="B18" s="131"/>
      <c r="C18" s="131"/>
      <c r="D18" s="131"/>
      <c r="E18" s="132"/>
      <c r="F18" s="133"/>
      <c r="G18" s="59"/>
      <c r="H18" s="60"/>
      <c r="I18" s="60"/>
      <c r="J18" s="133"/>
    </row>
    <row r="19" spans="1:15" ht="20.149999999999999" customHeight="1">
      <c r="A19" s="54" t="s">
        <v>279</v>
      </c>
      <c r="E19" s="134"/>
      <c r="F19" s="127">
        <f>SUM(F7:F18)</f>
        <v>16967.5</v>
      </c>
      <c r="G19" s="54" t="s">
        <v>280</v>
      </c>
      <c r="J19" s="127">
        <f>SUM(J8:J18)</f>
        <v>600</v>
      </c>
      <c r="O19" s="50" t="s">
        <v>234</v>
      </c>
    </row>
    <row r="20" spans="1:15" ht="20.149999999999999" customHeight="1">
      <c r="A20" s="59"/>
      <c r="B20" s="60"/>
      <c r="C20" s="60"/>
      <c r="D20" s="60"/>
      <c r="E20" s="135"/>
      <c r="F20" s="61"/>
      <c r="G20" s="59" t="s">
        <v>281</v>
      </c>
      <c r="H20" s="60"/>
      <c r="I20" s="60"/>
      <c r="J20" s="133">
        <f>+F19-J19</f>
        <v>16367.5</v>
      </c>
    </row>
    <row r="21" spans="1:15" ht="20.149999999999999" customHeight="1">
      <c r="J21" s="136"/>
    </row>
  </sheetData>
  <mergeCells count="3">
    <mergeCell ref="A6:F6"/>
    <mergeCell ref="G6:J6"/>
    <mergeCell ref="G3:H3"/>
  </mergeCells>
  <printOptions horizontalCentered="1" verticalCentered="1"/>
  <pageMargins left="0.31496062992125984" right="0.31496062992125984" top="0.15748031496062992" bottom="0.15748031496062992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BEB8-C197-4A70-9E15-C3090784E3F3}">
  <dimension ref="A2:G38"/>
  <sheetViews>
    <sheetView workbookViewId="0">
      <selection activeCell="H13" sqref="H13"/>
    </sheetView>
  </sheetViews>
  <sheetFormatPr defaultColWidth="9.1796875" defaultRowHeight="23"/>
  <cols>
    <col min="1" max="1" width="6.453125" style="82" customWidth="1"/>
    <col min="2" max="2" width="8" style="82" customWidth="1"/>
    <col min="3" max="3" width="13.81640625" style="138" customWidth="1"/>
    <col min="4" max="4" width="60" style="138" customWidth="1"/>
    <col min="5" max="5" width="34.1796875" style="138" customWidth="1"/>
    <col min="6" max="6" width="25.26953125" style="138" customWidth="1"/>
    <col min="7" max="7" width="18.453125" style="138" customWidth="1"/>
    <col min="8" max="16384" width="9.1796875" style="138"/>
  </cols>
  <sheetData>
    <row r="2" spans="1:7">
      <c r="A2" s="83" t="s">
        <v>1</v>
      </c>
      <c r="B2" s="83" t="s">
        <v>304</v>
      </c>
      <c r="C2" s="83" t="s">
        <v>305</v>
      </c>
      <c r="D2" s="83" t="s">
        <v>306</v>
      </c>
      <c r="E2" s="83" t="s">
        <v>377</v>
      </c>
      <c r="F2" s="83" t="s">
        <v>378</v>
      </c>
      <c r="G2" s="83" t="s">
        <v>379</v>
      </c>
    </row>
    <row r="3" spans="1:7">
      <c r="A3" s="83">
        <v>1</v>
      </c>
      <c r="B3" s="83">
        <v>1031</v>
      </c>
      <c r="C3" s="139" t="s">
        <v>221</v>
      </c>
      <c r="D3" s="139" t="s">
        <v>347</v>
      </c>
      <c r="E3" s="139"/>
      <c r="F3" s="139"/>
      <c r="G3" s="139"/>
    </row>
    <row r="4" spans="1:7">
      <c r="A4" s="83">
        <v>2</v>
      </c>
      <c r="B4" s="83">
        <v>9015</v>
      </c>
      <c r="C4" s="139" t="s">
        <v>166</v>
      </c>
      <c r="D4" s="139" t="s">
        <v>348</v>
      </c>
      <c r="E4" s="139"/>
      <c r="F4" s="139"/>
      <c r="G4" s="139"/>
    </row>
    <row r="5" spans="1:7">
      <c r="A5" s="83">
        <v>3</v>
      </c>
      <c r="B5" s="83">
        <v>6032</v>
      </c>
      <c r="C5" s="139" t="s">
        <v>223</v>
      </c>
      <c r="D5" s="139" t="s">
        <v>349</v>
      </c>
      <c r="E5" s="139"/>
      <c r="F5" s="139"/>
      <c r="G5" s="139"/>
    </row>
    <row r="6" spans="1:7">
      <c r="A6" s="83">
        <v>4</v>
      </c>
      <c r="B6" s="83">
        <v>7029</v>
      </c>
      <c r="C6" s="139" t="s">
        <v>217</v>
      </c>
      <c r="D6" s="139" t="s">
        <v>350</v>
      </c>
      <c r="E6" s="139"/>
      <c r="F6" s="139"/>
      <c r="G6" s="139"/>
    </row>
    <row r="7" spans="1:7">
      <c r="A7" s="83">
        <v>5</v>
      </c>
      <c r="B7" s="83">
        <v>8035</v>
      </c>
      <c r="C7" s="139" t="s">
        <v>229</v>
      </c>
      <c r="D7" s="139" t="s">
        <v>323</v>
      </c>
      <c r="E7" s="139"/>
      <c r="F7" s="139"/>
      <c r="G7" s="139"/>
    </row>
    <row r="8" spans="1:7">
      <c r="A8" s="83">
        <v>6</v>
      </c>
      <c r="B8" s="83">
        <v>5026</v>
      </c>
      <c r="C8" s="139" t="s">
        <v>210</v>
      </c>
      <c r="D8" s="139" t="s">
        <v>327</v>
      </c>
      <c r="E8" s="139"/>
      <c r="F8" s="139"/>
      <c r="G8" s="139"/>
    </row>
    <row r="9" spans="1:7">
      <c r="A9" s="83">
        <v>7</v>
      </c>
      <c r="B9" s="83">
        <v>5027</v>
      </c>
      <c r="C9" s="139" t="s">
        <v>213</v>
      </c>
      <c r="D9" s="139" t="s">
        <v>325</v>
      </c>
      <c r="E9" s="139"/>
      <c r="F9" s="139"/>
      <c r="G9" s="139"/>
    </row>
    <row r="10" spans="1:7">
      <c r="A10" s="83">
        <v>8</v>
      </c>
      <c r="B10" s="83">
        <v>5028</v>
      </c>
      <c r="C10" s="139" t="s">
        <v>215</v>
      </c>
      <c r="D10" s="139" t="s">
        <v>328</v>
      </c>
      <c r="E10" s="139"/>
      <c r="F10" s="139"/>
      <c r="G10" s="139"/>
    </row>
    <row r="11" spans="1:7">
      <c r="A11" s="83">
        <v>9</v>
      </c>
      <c r="B11" s="83">
        <v>3001</v>
      </c>
      <c r="C11" s="139" t="s">
        <v>21</v>
      </c>
      <c r="D11" s="139" t="s">
        <v>294</v>
      </c>
      <c r="E11" s="139"/>
      <c r="F11" s="139"/>
      <c r="G11" s="139"/>
    </row>
    <row r="12" spans="1:7">
      <c r="A12" s="83">
        <v>10</v>
      </c>
      <c r="B12" s="83">
        <v>3125</v>
      </c>
      <c r="C12" s="139" t="s">
        <v>208</v>
      </c>
      <c r="D12" s="139" t="s">
        <v>351</v>
      </c>
      <c r="E12" s="139"/>
      <c r="F12" s="139"/>
      <c r="G12" s="139"/>
    </row>
    <row r="13" spans="1:7">
      <c r="A13" s="83">
        <v>11</v>
      </c>
      <c r="B13" s="83">
        <v>2002</v>
      </c>
      <c r="C13" s="139" t="s">
        <v>46</v>
      </c>
      <c r="D13" s="139" t="s">
        <v>352</v>
      </c>
      <c r="E13" s="139"/>
      <c r="F13" s="139"/>
      <c r="G13" s="139"/>
    </row>
    <row r="14" spans="1:7">
      <c r="A14" s="83">
        <v>12</v>
      </c>
      <c r="B14" s="83">
        <v>2003</v>
      </c>
      <c r="C14" s="139" t="s">
        <v>57</v>
      </c>
      <c r="D14" s="139" t="s">
        <v>353</v>
      </c>
      <c r="E14" s="139"/>
      <c r="F14" s="139"/>
      <c r="G14" s="139"/>
    </row>
    <row r="15" spans="1:7">
      <c r="A15" s="83">
        <v>13</v>
      </c>
      <c r="B15" s="83">
        <v>2004</v>
      </c>
      <c r="C15" s="139" t="s">
        <v>66</v>
      </c>
      <c r="D15" s="139" t="s">
        <v>354</v>
      </c>
      <c r="E15" s="139"/>
      <c r="F15" s="139"/>
      <c r="G15" s="139"/>
    </row>
    <row r="16" spans="1:7">
      <c r="A16" s="83">
        <v>14</v>
      </c>
      <c r="B16" s="83">
        <v>2034</v>
      </c>
      <c r="C16" s="139" t="s">
        <v>227</v>
      </c>
      <c r="D16" s="139" t="s">
        <v>355</v>
      </c>
      <c r="E16" s="139"/>
      <c r="F16" s="139"/>
      <c r="G16" s="139"/>
    </row>
    <row r="17" spans="1:7">
      <c r="A17" s="83">
        <v>15</v>
      </c>
      <c r="B17" s="83">
        <v>2036</v>
      </c>
      <c r="C17" s="139" t="s">
        <v>231</v>
      </c>
      <c r="D17" s="139" t="s">
        <v>356</v>
      </c>
      <c r="E17" s="139"/>
      <c r="F17" s="139"/>
      <c r="G17" s="139"/>
    </row>
    <row r="18" spans="1:7">
      <c r="A18" s="83">
        <v>16</v>
      </c>
      <c r="B18" s="83">
        <v>1005</v>
      </c>
      <c r="C18" s="139" t="s">
        <v>73</v>
      </c>
      <c r="D18" s="139" t="s">
        <v>296</v>
      </c>
      <c r="E18" s="139"/>
      <c r="F18" s="139"/>
      <c r="G18" s="139"/>
    </row>
    <row r="19" spans="1:7">
      <c r="A19" s="83">
        <v>17</v>
      </c>
      <c r="B19" s="83">
        <v>1006</v>
      </c>
      <c r="C19" s="139" t="s">
        <v>77</v>
      </c>
      <c r="D19" s="139" t="s">
        <v>295</v>
      </c>
      <c r="E19" s="139"/>
      <c r="F19" s="139"/>
      <c r="G19" s="139"/>
    </row>
    <row r="20" spans="1:7">
      <c r="A20" s="83">
        <v>18</v>
      </c>
      <c r="B20" s="83">
        <v>1007</v>
      </c>
      <c r="C20" s="139" t="s">
        <v>91</v>
      </c>
      <c r="D20" s="139" t="s">
        <v>297</v>
      </c>
      <c r="E20" s="139"/>
      <c r="F20" s="139"/>
      <c r="G20" s="139"/>
    </row>
    <row r="21" spans="1:7">
      <c r="A21" s="83">
        <v>19</v>
      </c>
      <c r="B21" s="83">
        <v>1008</v>
      </c>
      <c r="C21" s="139" t="s">
        <v>97</v>
      </c>
      <c r="D21" s="139" t="s">
        <v>298</v>
      </c>
      <c r="E21" s="139"/>
      <c r="F21" s="139"/>
      <c r="G21" s="139"/>
    </row>
    <row r="22" spans="1:7">
      <c r="A22" s="83">
        <v>20</v>
      </c>
      <c r="B22" s="83">
        <v>1009</v>
      </c>
      <c r="C22" s="139" t="s">
        <v>101</v>
      </c>
      <c r="D22" s="139" t="s">
        <v>299</v>
      </c>
      <c r="E22" s="139"/>
      <c r="F22" s="139"/>
      <c r="G22" s="139"/>
    </row>
    <row r="23" spans="1:7">
      <c r="A23" s="83">
        <v>21</v>
      </c>
      <c r="B23" s="83">
        <v>1010</v>
      </c>
      <c r="C23" s="139" t="s">
        <v>105</v>
      </c>
      <c r="D23" s="139" t="s">
        <v>301</v>
      </c>
      <c r="E23" s="139"/>
      <c r="F23" s="139"/>
      <c r="G23" s="139"/>
    </row>
    <row r="24" spans="1:7">
      <c r="A24" s="83">
        <v>22</v>
      </c>
      <c r="B24" s="83">
        <v>1011</v>
      </c>
      <c r="C24" s="139" t="s">
        <v>119</v>
      </c>
      <c r="D24" s="139" t="s">
        <v>300</v>
      </c>
      <c r="E24" s="139"/>
      <c r="F24" s="139"/>
      <c r="G24" s="139"/>
    </row>
    <row r="25" spans="1:7">
      <c r="A25" s="83">
        <v>23</v>
      </c>
      <c r="B25" s="83">
        <v>1014</v>
      </c>
      <c r="C25" s="139" t="s">
        <v>166</v>
      </c>
      <c r="D25" s="139" t="s">
        <v>348</v>
      </c>
      <c r="E25" s="139"/>
      <c r="F25" s="139"/>
      <c r="G25" s="139"/>
    </row>
    <row r="26" spans="1:7">
      <c r="A26" s="83">
        <v>24</v>
      </c>
      <c r="B26" s="83">
        <v>1016</v>
      </c>
      <c r="C26" s="139" t="s">
        <v>166</v>
      </c>
      <c r="D26" s="139" t="s">
        <v>348</v>
      </c>
      <c r="E26" s="139"/>
      <c r="F26" s="139"/>
      <c r="G26" s="139"/>
    </row>
    <row r="27" spans="1:7">
      <c r="A27" s="83">
        <v>25</v>
      </c>
      <c r="B27" s="83">
        <v>1017</v>
      </c>
      <c r="C27" s="139" t="s">
        <v>170</v>
      </c>
      <c r="D27" s="139" t="s">
        <v>357</v>
      </c>
      <c r="E27" s="139"/>
      <c r="F27" s="139"/>
      <c r="G27" s="139"/>
    </row>
    <row r="28" spans="1:7">
      <c r="A28" s="83">
        <v>26</v>
      </c>
      <c r="B28" s="83">
        <v>1018</v>
      </c>
      <c r="C28" s="139" t="s">
        <v>177</v>
      </c>
      <c r="D28" s="139" t="s">
        <v>358</v>
      </c>
      <c r="E28" s="139"/>
      <c r="F28" s="139"/>
      <c r="G28" s="139"/>
    </row>
    <row r="29" spans="1:7">
      <c r="A29" s="83">
        <v>27</v>
      </c>
      <c r="B29" s="83">
        <v>1020</v>
      </c>
      <c r="C29" s="139" t="s">
        <v>186</v>
      </c>
      <c r="D29" s="139" t="s">
        <v>359</v>
      </c>
      <c r="E29" s="139"/>
      <c r="F29" s="139"/>
      <c r="G29" s="139"/>
    </row>
    <row r="30" spans="1:7">
      <c r="A30" s="83">
        <v>28</v>
      </c>
      <c r="B30" s="83">
        <v>1021</v>
      </c>
      <c r="C30" s="139" t="s">
        <v>191</v>
      </c>
      <c r="D30" s="139" t="s">
        <v>359</v>
      </c>
      <c r="E30" s="139"/>
      <c r="F30" s="139"/>
      <c r="G30" s="139"/>
    </row>
    <row r="31" spans="1:7">
      <c r="A31" s="83">
        <v>29</v>
      </c>
      <c r="B31" s="83">
        <v>1023</v>
      </c>
      <c r="C31" s="139" t="s">
        <v>202</v>
      </c>
      <c r="D31" s="139" t="s">
        <v>360</v>
      </c>
      <c r="E31" s="139"/>
      <c r="F31" s="139"/>
      <c r="G31" s="139"/>
    </row>
    <row r="32" spans="1:7">
      <c r="A32" s="83">
        <v>30</v>
      </c>
      <c r="B32" s="83">
        <v>1024</v>
      </c>
      <c r="C32" s="139" t="s">
        <v>205</v>
      </c>
      <c r="D32" s="139" t="s">
        <v>361</v>
      </c>
      <c r="E32" s="139"/>
      <c r="F32" s="139"/>
      <c r="G32" s="139"/>
    </row>
    <row r="33" spans="1:7">
      <c r="A33" s="83">
        <v>31</v>
      </c>
      <c r="B33" s="83">
        <v>1033</v>
      </c>
      <c r="C33" s="139" t="s">
        <v>225</v>
      </c>
      <c r="D33" s="139" t="s">
        <v>355</v>
      </c>
      <c r="E33" s="139"/>
      <c r="F33" s="139"/>
      <c r="G33" s="139"/>
    </row>
    <row r="34" spans="1:7">
      <c r="A34" s="83">
        <v>32</v>
      </c>
      <c r="B34" s="83">
        <v>1037</v>
      </c>
      <c r="C34" s="139" t="s">
        <v>233</v>
      </c>
      <c r="D34" s="139" t="s">
        <v>362</v>
      </c>
      <c r="E34" s="139"/>
      <c r="F34" s="139"/>
      <c r="G34" s="139"/>
    </row>
    <row r="35" spans="1:7">
      <c r="A35" s="83">
        <v>34</v>
      </c>
      <c r="B35" s="83">
        <v>4012</v>
      </c>
      <c r="C35" s="139" t="s">
        <v>150</v>
      </c>
      <c r="D35" s="139" t="s">
        <v>302</v>
      </c>
      <c r="E35" s="139"/>
      <c r="F35" s="139"/>
      <c r="G35" s="139"/>
    </row>
    <row r="36" spans="1:7">
      <c r="A36" s="83">
        <v>35</v>
      </c>
      <c r="B36" s="83">
        <v>4013</v>
      </c>
      <c r="C36" s="139" t="s">
        <v>157</v>
      </c>
      <c r="D36" s="139" t="s">
        <v>303</v>
      </c>
      <c r="E36" s="139"/>
      <c r="F36" s="139"/>
      <c r="G36" s="139"/>
    </row>
    <row r="37" spans="1:7">
      <c r="A37" s="83">
        <v>36</v>
      </c>
      <c r="B37" s="83">
        <v>4022</v>
      </c>
      <c r="C37" s="139" t="s">
        <v>193</v>
      </c>
      <c r="D37" s="139" t="s">
        <v>320</v>
      </c>
      <c r="E37" s="139"/>
      <c r="F37" s="139"/>
      <c r="G37" s="139"/>
    </row>
    <row r="38" spans="1:7">
      <c r="A38" s="83">
        <v>37</v>
      </c>
      <c r="B38" s="83">
        <v>4030</v>
      </c>
      <c r="C38" s="139" t="s">
        <v>219</v>
      </c>
      <c r="D38" s="139" t="s">
        <v>347</v>
      </c>
      <c r="E38" s="139"/>
      <c r="F38" s="139"/>
      <c r="G38" s="139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B687-D3C9-4BF3-8C3A-B0F7CBAE354C}">
  <dimension ref="A1:AD38"/>
  <sheetViews>
    <sheetView showGridLines="0" view="pageBreakPreview" zoomScale="60" zoomScaleNormal="100" workbookViewId="0">
      <selection activeCell="AW36" sqref="AW36"/>
    </sheetView>
  </sheetViews>
  <sheetFormatPr defaultColWidth="9" defaultRowHeight="20"/>
  <cols>
    <col min="1" max="31" width="3.54296875" style="50" customWidth="1"/>
    <col min="32" max="16384" width="9" style="50"/>
  </cols>
  <sheetData>
    <row r="1" spans="1:30" ht="14.25" customHeight="1">
      <c r="L1" s="110"/>
    </row>
    <row r="2" spans="1:30" ht="28.5">
      <c r="L2" s="110" t="s">
        <v>343</v>
      </c>
    </row>
    <row r="4" spans="1:30">
      <c r="B4" s="109" t="s">
        <v>344</v>
      </c>
      <c r="C4" s="55"/>
      <c r="D4" s="55"/>
      <c r="E4" s="55"/>
      <c r="F4" s="55"/>
      <c r="G4" s="55"/>
      <c r="H4" s="55"/>
      <c r="I4" s="55"/>
      <c r="W4" s="50" t="s">
        <v>342</v>
      </c>
      <c r="Z4" s="55"/>
      <c r="AA4" s="55"/>
      <c r="AB4" s="55"/>
      <c r="AC4" s="55"/>
    </row>
    <row r="6" spans="1:30">
      <c r="A6" s="51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3"/>
    </row>
    <row r="7" spans="1:30">
      <c r="A7" s="54"/>
      <c r="B7" s="50" t="s">
        <v>235</v>
      </c>
      <c r="C7" s="55"/>
      <c r="D7" s="55"/>
      <c r="E7" s="55"/>
      <c r="F7" s="55"/>
      <c r="G7" s="55"/>
      <c r="H7" s="55"/>
      <c r="I7" s="55"/>
      <c r="J7" s="55"/>
      <c r="K7" s="55"/>
      <c r="L7" s="50" t="s">
        <v>236</v>
      </c>
      <c r="N7" s="55"/>
      <c r="O7" s="55"/>
      <c r="P7" s="55"/>
      <c r="Q7" s="55"/>
      <c r="R7" s="55"/>
      <c r="S7" s="55"/>
      <c r="T7" s="55"/>
      <c r="U7" s="50" t="s">
        <v>9</v>
      </c>
      <c r="V7" s="55"/>
      <c r="W7" s="55"/>
      <c r="X7" s="50" t="s">
        <v>6</v>
      </c>
      <c r="Y7" s="50" t="s">
        <v>10</v>
      </c>
      <c r="Z7" s="55"/>
      <c r="AA7" s="55"/>
      <c r="AB7" s="55"/>
      <c r="AC7" s="55"/>
      <c r="AD7" s="56"/>
    </row>
    <row r="8" spans="1:30">
      <c r="A8" s="54"/>
      <c r="B8" s="50" t="s">
        <v>237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0" t="s">
        <v>4</v>
      </c>
      <c r="R8" s="55"/>
      <c r="S8" s="55"/>
      <c r="T8" s="55"/>
      <c r="U8" s="55"/>
      <c r="V8" s="55"/>
      <c r="W8" s="55"/>
      <c r="X8" s="55"/>
      <c r="Y8" s="55"/>
      <c r="AD8" s="56"/>
    </row>
    <row r="9" spans="1:30">
      <c r="A9" s="54"/>
      <c r="B9" s="50" t="s">
        <v>239</v>
      </c>
      <c r="E9" s="57"/>
      <c r="F9" s="57"/>
      <c r="G9" s="57"/>
      <c r="H9" s="57"/>
      <c r="I9" s="57"/>
      <c r="J9" s="57"/>
      <c r="K9" s="57"/>
      <c r="L9" s="50" t="s">
        <v>240</v>
      </c>
      <c r="N9" s="55"/>
      <c r="O9" s="55"/>
      <c r="P9" s="55"/>
      <c r="Q9" s="55"/>
      <c r="R9" s="55"/>
      <c r="S9" s="50" t="s">
        <v>11</v>
      </c>
      <c r="U9" s="57"/>
      <c r="V9" s="57"/>
      <c r="W9" s="57"/>
      <c r="X9" s="57"/>
      <c r="Y9" s="57"/>
      <c r="AD9" s="56"/>
    </row>
    <row r="10" spans="1:30">
      <c r="A10" s="54"/>
      <c r="B10" s="50" t="s">
        <v>241</v>
      </c>
      <c r="F10" s="55"/>
      <c r="G10" s="55"/>
      <c r="H10" s="55"/>
      <c r="I10" s="55"/>
      <c r="J10" s="55"/>
      <c r="K10" s="55"/>
      <c r="L10" s="55"/>
      <c r="M10" s="55"/>
      <c r="N10" s="50" t="s">
        <v>242</v>
      </c>
      <c r="P10" s="55"/>
      <c r="Q10" s="55"/>
      <c r="R10" s="55"/>
      <c r="S10" s="55"/>
      <c r="T10" s="55"/>
      <c r="U10" s="55"/>
      <c r="V10" s="55"/>
      <c r="W10" s="55"/>
      <c r="X10" s="55"/>
      <c r="Y10" s="55"/>
      <c r="AD10" s="56"/>
    </row>
    <row r="11" spans="1:30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0" t="s">
        <v>238</v>
      </c>
      <c r="T11" s="57"/>
      <c r="U11" s="57"/>
      <c r="V11" s="57"/>
      <c r="W11" s="57"/>
      <c r="X11" s="57"/>
      <c r="Y11" s="57"/>
      <c r="AD11" s="56"/>
    </row>
    <row r="12" spans="1:30">
      <c r="A12" s="54"/>
      <c r="B12" s="50" t="s">
        <v>244</v>
      </c>
      <c r="K12" s="57"/>
      <c r="L12" s="57"/>
      <c r="M12" s="57"/>
      <c r="N12" s="57"/>
      <c r="O12" s="57"/>
      <c r="P12" s="57"/>
      <c r="Q12" s="57"/>
      <c r="R12" s="50" t="s">
        <v>245</v>
      </c>
      <c r="T12" s="57"/>
      <c r="U12" s="57"/>
      <c r="V12" s="57"/>
      <c r="W12" s="57"/>
      <c r="X12" s="57"/>
      <c r="Y12" s="57"/>
      <c r="AD12" s="56"/>
    </row>
    <row r="13" spans="1:30">
      <c r="A13" s="54"/>
      <c r="B13" s="50" t="s">
        <v>246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6"/>
    </row>
    <row r="14" spans="1:30">
      <c r="A14" s="54"/>
      <c r="B14" s="50" t="s">
        <v>247</v>
      </c>
      <c r="G14" s="58" t="s">
        <v>243</v>
      </c>
      <c r="H14" s="50" t="s">
        <v>248</v>
      </c>
      <c r="N14" s="58" t="s">
        <v>243</v>
      </c>
      <c r="O14" s="50" t="s">
        <v>249</v>
      </c>
      <c r="T14" s="58" t="s">
        <v>243</v>
      </c>
      <c r="U14" s="50" t="s">
        <v>250</v>
      </c>
      <c r="V14" s="57"/>
      <c r="W14" s="57"/>
      <c r="X14" s="57"/>
      <c r="Y14" s="57"/>
      <c r="Z14" s="57"/>
      <c r="AA14" s="57"/>
      <c r="AB14" s="57"/>
      <c r="AC14" s="57"/>
      <c r="AD14" s="56"/>
    </row>
    <row r="15" spans="1:30">
      <c r="A15" s="54"/>
      <c r="B15" s="50" t="s">
        <v>251</v>
      </c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0" t="s">
        <v>236</v>
      </c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6"/>
    </row>
    <row r="16" spans="1:30">
      <c r="A16" s="54"/>
      <c r="B16" s="50" t="s">
        <v>252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0" t="s">
        <v>238</v>
      </c>
      <c r="Y16" s="57"/>
      <c r="Z16" s="57"/>
      <c r="AA16" s="57"/>
      <c r="AB16" s="57"/>
      <c r="AC16" s="57"/>
      <c r="AD16" s="56"/>
    </row>
    <row r="17" spans="1:30">
      <c r="A17" s="54"/>
      <c r="B17" s="50" t="s">
        <v>289</v>
      </c>
      <c r="AD17" s="56"/>
    </row>
    <row r="18" spans="1:30">
      <c r="A18" s="54"/>
      <c r="B18" s="50" t="s">
        <v>254</v>
      </c>
      <c r="AD18" s="56"/>
    </row>
    <row r="19" spans="1:30" ht="20.5" thickBot="1">
      <c r="A19" s="54"/>
      <c r="S19" s="62" t="s">
        <v>253</v>
      </c>
      <c r="T19" s="55"/>
      <c r="U19" s="55"/>
      <c r="V19" s="55"/>
      <c r="W19" s="55"/>
      <c r="X19" s="55"/>
      <c r="Y19" s="55"/>
      <c r="Z19" s="55"/>
      <c r="AD19" s="56"/>
    </row>
    <row r="20" spans="1:30">
      <c r="A20" s="54"/>
      <c r="C20" s="63"/>
      <c r="D20" s="64"/>
      <c r="E20" s="64"/>
      <c r="F20" s="64" t="s">
        <v>292</v>
      </c>
      <c r="G20" s="64"/>
      <c r="H20" s="64"/>
      <c r="I20" s="64"/>
      <c r="J20" s="64"/>
      <c r="K20" s="64"/>
      <c r="L20" s="64"/>
      <c r="M20" s="64"/>
      <c r="N20" s="65"/>
      <c r="O20" s="66"/>
      <c r="S20" s="62"/>
      <c r="T20" s="151" t="s">
        <v>255</v>
      </c>
      <c r="U20" s="151"/>
      <c r="V20" s="151"/>
      <c r="W20" s="151"/>
      <c r="X20" s="151"/>
      <c r="Y20" s="151"/>
      <c r="Z20" s="151"/>
      <c r="AD20" s="56"/>
    </row>
    <row r="21" spans="1:30">
      <c r="A21" s="54"/>
      <c r="C21" s="67"/>
      <c r="D21" s="58" t="s">
        <v>243</v>
      </c>
      <c r="E21" s="50" t="s">
        <v>256</v>
      </c>
      <c r="N21" s="68"/>
      <c r="O21" s="66"/>
      <c r="S21" s="62"/>
      <c r="T21" s="150" t="s">
        <v>291</v>
      </c>
      <c r="U21" s="150"/>
      <c r="V21" s="150"/>
      <c r="W21" s="150"/>
      <c r="X21" s="150"/>
      <c r="Y21" s="150"/>
      <c r="Z21" s="150"/>
      <c r="AD21" s="56"/>
    </row>
    <row r="22" spans="1:30">
      <c r="A22" s="54"/>
      <c r="C22" s="67"/>
      <c r="D22" s="58" t="s">
        <v>243</v>
      </c>
      <c r="E22" s="50" t="s">
        <v>257</v>
      </c>
      <c r="N22" s="68"/>
      <c r="O22" s="66"/>
      <c r="S22" s="62"/>
      <c r="AD22" s="56"/>
    </row>
    <row r="23" spans="1:30">
      <c r="A23" s="54"/>
      <c r="C23" s="67"/>
      <c r="D23" s="58" t="s">
        <v>243</v>
      </c>
      <c r="E23" s="50" t="s">
        <v>293</v>
      </c>
      <c r="N23" s="68"/>
      <c r="O23" s="66"/>
      <c r="S23" s="62" t="s">
        <v>253</v>
      </c>
      <c r="T23" s="55"/>
      <c r="U23" s="55"/>
      <c r="V23" s="55"/>
      <c r="W23" s="55"/>
      <c r="X23" s="55"/>
      <c r="Y23" s="55"/>
      <c r="Z23" s="55"/>
      <c r="AD23" s="56"/>
    </row>
    <row r="24" spans="1:30">
      <c r="A24" s="54"/>
      <c r="C24" s="67"/>
      <c r="D24" s="58" t="s">
        <v>243</v>
      </c>
      <c r="E24" s="50" t="s">
        <v>250</v>
      </c>
      <c r="F24" s="55"/>
      <c r="G24" s="55"/>
      <c r="H24" s="55"/>
      <c r="I24" s="55"/>
      <c r="J24" s="55"/>
      <c r="N24" s="68"/>
      <c r="O24" s="66"/>
      <c r="T24" s="151" t="s">
        <v>255</v>
      </c>
      <c r="U24" s="151"/>
      <c r="V24" s="151"/>
      <c r="W24" s="151"/>
      <c r="X24" s="151"/>
      <c r="Y24" s="151"/>
      <c r="Z24" s="151"/>
      <c r="AD24" s="56"/>
    </row>
    <row r="25" spans="1:30" ht="20.5" thickBot="1">
      <c r="A25" s="54"/>
      <c r="C25" s="69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1"/>
      <c r="O25" s="66"/>
      <c r="T25" s="150" t="s">
        <v>290</v>
      </c>
      <c r="U25" s="150"/>
      <c r="V25" s="150"/>
      <c r="W25" s="150"/>
      <c r="X25" s="150"/>
      <c r="Y25" s="150"/>
      <c r="Z25" s="150"/>
      <c r="AD25" s="56"/>
    </row>
    <row r="26" spans="1:30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1"/>
    </row>
    <row r="31" spans="1:30">
      <c r="J31" s="74"/>
      <c r="W31" s="58"/>
      <c r="Z31" s="58"/>
    </row>
    <row r="33" spans="1:30">
      <c r="F33" s="58"/>
      <c r="M33" s="58"/>
    </row>
    <row r="38" spans="1:30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</row>
  </sheetData>
  <mergeCells count="5">
    <mergeCell ref="A38:AD38"/>
    <mergeCell ref="T24:Z24"/>
    <mergeCell ref="T25:Z25"/>
    <mergeCell ref="T20:Z20"/>
    <mergeCell ref="T21:Z21"/>
  </mergeCells>
  <printOptions horizontalCentered="1"/>
  <pageMargins left="0.31496062992125984" right="0.31496062992125984" top="0.35433070866141736" bottom="0.15748031496062992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ประวัติพนักงาน J2K</vt:lpstr>
      <vt:lpstr>CODE</vt:lpstr>
      <vt:lpstr>เวลา -เข้าออกงาน</vt:lpstr>
      <vt:lpstr>เงินเดือน </vt:lpstr>
      <vt:lpstr>Attenden</vt:lpstr>
      <vt:lpstr>Slip </vt:lpstr>
      <vt:lpstr>Customer</vt:lpstr>
      <vt:lpstr>เอกสารส่งตัว</vt:lpstr>
      <vt:lpstr>'Slip '!Print_Area</vt:lpstr>
      <vt:lpstr>เอกสารส่งตัว!Print_Area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jeffrey Lan</cp:lastModifiedBy>
  <cp:lastPrinted>2026-09-15T10:11:43Z</cp:lastPrinted>
  <dcterms:created xsi:type="dcterms:W3CDTF">2026-09-10T02:36:42Z</dcterms:created>
  <dcterms:modified xsi:type="dcterms:W3CDTF">2026-09-16T00:32:14Z</dcterms:modified>
</cp:coreProperties>
</file>