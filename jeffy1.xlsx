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D807249-6E5B-459D-B7C0-0B83BF86DB0F}" xr6:coauthVersionLast="47" xr6:coauthVersionMax="47" xr10:uidLastSave="{00000000-0000-0000-0000-000000000000}"/>
  <bookViews>
    <workbookView xWindow="-120" yWindow="-120" windowWidth="29040" windowHeight="15720" activeTab="3" xr2:uid="{07D2A94A-5FFC-4D88-AF63-846BD931303E}"/>
  </bookViews>
  <sheets>
    <sheet name="ประวัติพนักงาน J2K" sheetId="1" r:id="rId1"/>
    <sheet name="Staff_info" sheetId="10" r:id="rId2"/>
    <sheet name="CODE" sheetId="13" r:id="rId3"/>
    <sheet name="เวลา -เข้าออกงาน" sheetId="2" r:id="rId4"/>
    <sheet name="เงินเดือน " sheetId="8" r:id="rId5"/>
    <sheet name="Attenden ()" sheetId="14" r:id="rId6"/>
    <sheet name="Slip " sheetId="12" r:id="rId7"/>
    <sheet name="Customer" sheetId="9" r:id="rId8"/>
    <sheet name="เอกสารส่งตัว" sheetId="11" r:id="rId9"/>
  </sheets>
  <externalReferences>
    <externalReference r:id="rId10"/>
    <externalReference r:id="rId11"/>
    <externalReference r:id="rId12"/>
  </externalReferences>
  <definedNames>
    <definedName name="_xlnm._FilterDatabase" localSheetId="2" hidden="1">CODE!$B$2:$J$39</definedName>
    <definedName name="_xlnm._FilterDatabase" localSheetId="4" hidden="1">'เงินเดือน '!$A$2:$AG$155</definedName>
    <definedName name="_xlnm._FilterDatabase" localSheetId="0" hidden="1">'ประวัติพนักงาน J2K'!$A$3:$AA$155</definedName>
    <definedName name="Holiday">'[1]1.Holiday'!$B:$C</definedName>
    <definedName name="Language">[2]Language!$K$20:$K$31</definedName>
    <definedName name="page">OFFSET(#REF!,1,0,COUNTA(#REF!)-1,1)</definedName>
    <definedName name="Page_No">OFFSET(#REF!,1,0,MAX(#REF!),1)</definedName>
    <definedName name="_xlnm.Print_Area" localSheetId="5">'Attenden ()'!$A$1:$AH$37</definedName>
    <definedName name="_xlnm.Print_Area" localSheetId="6">'Slip '!$A$1:$K$22</definedName>
    <definedName name="_xlnm.Print_Area" localSheetId="8">เอกสารส่งตัว!$A$1:$AP$42</definedName>
    <definedName name="Reponsibilty">[2]Reponsibility!$B$12:$B$17</definedName>
    <definedName name="Skill">[2]Technical_Skill!$C$12:$C$18</definedName>
    <definedName name="แผ่นที่">#REF!</definedName>
    <definedName name="ลำดับ">#REF!</definedName>
    <definedName name="등급">[3]Sheet1!$B$4:$B$7</definedName>
    <definedName name="목록">#REF!</definedName>
    <definedName name="목록1">#REF!</definedName>
    <definedName name="목록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" i="8" l="1"/>
  <c r="J108" i="8"/>
  <c r="I108" i="8"/>
  <c r="H108" i="8"/>
  <c r="AD91" i="8"/>
  <c r="K91" i="8"/>
  <c r="J91" i="8"/>
  <c r="I91" i="8"/>
  <c r="H91" i="8"/>
  <c r="AD54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60" i="8"/>
  <c r="AF5" i="8"/>
  <c r="AF6" i="8"/>
  <c r="AF7" i="8"/>
  <c r="AF8" i="8"/>
  <c r="AF10" i="8"/>
  <c r="AF11" i="8"/>
  <c r="AF12" i="8"/>
  <c r="AF13" i="8"/>
  <c r="AF14" i="8"/>
  <c r="AF15" i="8"/>
  <c r="AF16" i="8"/>
  <c r="AF17" i="8"/>
  <c r="AF18" i="8"/>
  <c r="AF19" i="8"/>
  <c r="AF21" i="8"/>
  <c r="AF23" i="8"/>
  <c r="AF24" i="8"/>
  <c r="AF26" i="8"/>
  <c r="AF28" i="8"/>
  <c r="AF29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7" i="8"/>
  <c r="AF58" i="8"/>
  <c r="AF59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2" i="8"/>
  <c r="AF113" i="8"/>
  <c r="AF114" i="8"/>
  <c r="AF115" i="8"/>
  <c r="AF116" i="8"/>
  <c r="AF117" i="8"/>
  <c r="AF118" i="8"/>
  <c r="AF119" i="8"/>
  <c r="AF120" i="8"/>
  <c r="AF123" i="8"/>
  <c r="AF124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9" i="8"/>
  <c r="AF140" i="8"/>
  <c r="AF145" i="8"/>
  <c r="AF146" i="8"/>
  <c r="AF147" i="8"/>
  <c r="AF148" i="8"/>
  <c r="AF149" i="8"/>
  <c r="AF150" i="8"/>
  <c r="AF151" i="8"/>
  <c r="AF152" i="8"/>
  <c r="AF153" i="8"/>
  <c r="AF154" i="8"/>
  <c r="AF155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60" i="8"/>
  <c r="AD5" i="8"/>
  <c r="AD6" i="8"/>
  <c r="AD7" i="8"/>
  <c r="AD8" i="8"/>
  <c r="AD10" i="8"/>
  <c r="AD11" i="8"/>
  <c r="AD12" i="8"/>
  <c r="AD13" i="8"/>
  <c r="AD14" i="8"/>
  <c r="AD15" i="8"/>
  <c r="AD16" i="8"/>
  <c r="AD17" i="8"/>
  <c r="AD18" i="8"/>
  <c r="AD19" i="8"/>
  <c r="AD21" i="8"/>
  <c r="AD23" i="8"/>
  <c r="AD24" i="8"/>
  <c r="AD26" i="8"/>
  <c r="AD28" i="8"/>
  <c r="AD29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7" i="8"/>
  <c r="AD58" i="8"/>
  <c r="AD59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2" i="8"/>
  <c r="AD113" i="8"/>
  <c r="AD114" i="8"/>
  <c r="AD115" i="8"/>
  <c r="AD116" i="8"/>
  <c r="AD117" i="8"/>
  <c r="AD118" i="8"/>
  <c r="AD119" i="8"/>
  <c r="AD120" i="8"/>
  <c r="AD123" i="8"/>
  <c r="AD124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9" i="8"/>
  <c r="AD140" i="8"/>
  <c r="AD145" i="8"/>
  <c r="AD146" i="8"/>
  <c r="AD147" i="8"/>
  <c r="AD148" i="8"/>
  <c r="AD149" i="8"/>
  <c r="AD150" i="8"/>
  <c r="AD151" i="8"/>
  <c r="AD152" i="8"/>
  <c r="AD153" i="8"/>
  <c r="AD154" i="8"/>
  <c r="AD155" i="8"/>
  <c r="I61" i="8" l="1"/>
  <c r="J61" i="8"/>
  <c r="K61" i="8"/>
  <c r="I62" i="8"/>
  <c r="J62" i="8"/>
  <c r="K62" i="8"/>
  <c r="I63" i="8"/>
  <c r="J63" i="8"/>
  <c r="K63" i="8"/>
  <c r="I64" i="8"/>
  <c r="J64" i="8"/>
  <c r="K64" i="8"/>
  <c r="I65" i="8"/>
  <c r="J65" i="8"/>
  <c r="K65" i="8"/>
  <c r="I66" i="8"/>
  <c r="J66" i="8"/>
  <c r="K66" i="8"/>
  <c r="I67" i="8"/>
  <c r="J67" i="8"/>
  <c r="K67" i="8"/>
  <c r="I68" i="8"/>
  <c r="J68" i="8"/>
  <c r="K68" i="8"/>
  <c r="I69" i="8"/>
  <c r="J69" i="8"/>
  <c r="K69" i="8"/>
  <c r="I70" i="8"/>
  <c r="J70" i="8"/>
  <c r="K70" i="8"/>
  <c r="I71" i="8"/>
  <c r="J71" i="8"/>
  <c r="K71" i="8"/>
  <c r="I72" i="8"/>
  <c r="J72" i="8"/>
  <c r="K72" i="8"/>
  <c r="I73" i="8"/>
  <c r="J73" i="8"/>
  <c r="K73" i="8"/>
  <c r="I74" i="8"/>
  <c r="J74" i="8"/>
  <c r="K74" i="8"/>
  <c r="I75" i="8"/>
  <c r="J75" i="8"/>
  <c r="K75" i="8"/>
  <c r="I76" i="8"/>
  <c r="J76" i="8"/>
  <c r="K76" i="8"/>
  <c r="I77" i="8"/>
  <c r="J77" i="8"/>
  <c r="K77" i="8"/>
  <c r="I78" i="8"/>
  <c r="J78" i="8"/>
  <c r="K78" i="8"/>
  <c r="I79" i="8"/>
  <c r="J79" i="8"/>
  <c r="K79" i="8"/>
  <c r="I80" i="8"/>
  <c r="J80" i="8"/>
  <c r="K80" i="8"/>
  <c r="I81" i="8"/>
  <c r="J81" i="8"/>
  <c r="K81" i="8"/>
  <c r="I82" i="8"/>
  <c r="J82" i="8"/>
  <c r="K82" i="8"/>
  <c r="I83" i="8"/>
  <c r="J83" i="8"/>
  <c r="K83" i="8"/>
  <c r="I84" i="8"/>
  <c r="J84" i="8"/>
  <c r="K84" i="8"/>
  <c r="I85" i="8"/>
  <c r="J85" i="8"/>
  <c r="K85" i="8"/>
  <c r="I86" i="8"/>
  <c r="J86" i="8"/>
  <c r="K86" i="8"/>
  <c r="I87" i="8"/>
  <c r="J87" i="8"/>
  <c r="K87" i="8"/>
  <c r="I88" i="8"/>
  <c r="J88" i="8"/>
  <c r="K88" i="8"/>
  <c r="I89" i="8"/>
  <c r="J89" i="8"/>
  <c r="K89" i="8"/>
  <c r="I90" i="8"/>
  <c r="J90" i="8"/>
  <c r="K90" i="8"/>
  <c r="K60" i="8"/>
  <c r="J60" i="8"/>
  <c r="I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60" i="8"/>
  <c r="J16" i="8"/>
  <c r="I5" i="8" l="1"/>
  <c r="J5" i="8"/>
  <c r="K5" i="8"/>
  <c r="I6" i="8"/>
  <c r="J6" i="8"/>
  <c r="K6" i="8"/>
  <c r="I7" i="8"/>
  <c r="J7" i="8"/>
  <c r="K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26" i="8"/>
  <c r="J26" i="8"/>
  <c r="K26" i="8"/>
  <c r="I27" i="8"/>
  <c r="J27" i="8"/>
  <c r="K27" i="8"/>
  <c r="I28" i="8"/>
  <c r="J28" i="8"/>
  <c r="K28" i="8"/>
  <c r="I29" i="8"/>
  <c r="J29" i="8"/>
  <c r="K29" i="8"/>
  <c r="I30" i="8"/>
  <c r="J30" i="8"/>
  <c r="K30" i="8"/>
  <c r="I31" i="8"/>
  <c r="J31" i="8"/>
  <c r="K31" i="8"/>
  <c r="I32" i="8"/>
  <c r="J32" i="8"/>
  <c r="K32" i="8"/>
  <c r="I33" i="8"/>
  <c r="J33" i="8"/>
  <c r="K33" i="8"/>
  <c r="I34" i="8"/>
  <c r="J34" i="8"/>
  <c r="K34" i="8"/>
  <c r="I35" i="8"/>
  <c r="J35" i="8"/>
  <c r="K35" i="8"/>
  <c r="I36" i="8"/>
  <c r="J36" i="8"/>
  <c r="K36" i="8"/>
  <c r="I37" i="8"/>
  <c r="J37" i="8"/>
  <c r="K37" i="8"/>
  <c r="I38" i="8"/>
  <c r="J38" i="8"/>
  <c r="K38" i="8"/>
  <c r="I39" i="8"/>
  <c r="J39" i="8"/>
  <c r="K39" i="8"/>
  <c r="I40" i="8"/>
  <c r="J40" i="8"/>
  <c r="K40" i="8"/>
  <c r="I41" i="8"/>
  <c r="J41" i="8"/>
  <c r="K41" i="8"/>
  <c r="I42" i="8"/>
  <c r="J42" i="8"/>
  <c r="K42" i="8"/>
  <c r="I43" i="8"/>
  <c r="J43" i="8"/>
  <c r="K43" i="8"/>
  <c r="I44" i="8"/>
  <c r="J44" i="8"/>
  <c r="K44" i="8"/>
  <c r="I45" i="8"/>
  <c r="J45" i="8"/>
  <c r="K45" i="8"/>
  <c r="I46" i="8"/>
  <c r="J46" i="8"/>
  <c r="K46" i="8"/>
  <c r="I47" i="8"/>
  <c r="J47" i="8"/>
  <c r="K47" i="8"/>
  <c r="I48" i="8"/>
  <c r="J48" i="8"/>
  <c r="K48" i="8"/>
  <c r="I49" i="8"/>
  <c r="J49" i="8"/>
  <c r="K49" i="8"/>
  <c r="I50" i="8"/>
  <c r="J50" i="8"/>
  <c r="K50" i="8"/>
  <c r="I51" i="8"/>
  <c r="J51" i="8"/>
  <c r="K51" i="8"/>
  <c r="I52" i="8"/>
  <c r="J52" i="8"/>
  <c r="K52" i="8"/>
  <c r="I53" i="8"/>
  <c r="J53" i="8"/>
  <c r="K53" i="8"/>
  <c r="I54" i="8"/>
  <c r="J54" i="8"/>
  <c r="K54" i="8"/>
  <c r="I55" i="8"/>
  <c r="J55" i="8"/>
  <c r="K55" i="8"/>
  <c r="I56" i="8"/>
  <c r="J56" i="8"/>
  <c r="K56" i="8"/>
  <c r="I57" i="8"/>
  <c r="J57" i="8"/>
  <c r="K57" i="8"/>
  <c r="I58" i="8"/>
  <c r="J58" i="8"/>
  <c r="K58" i="8"/>
  <c r="I59" i="8"/>
  <c r="J59" i="8"/>
  <c r="K59" i="8"/>
  <c r="I92" i="8"/>
  <c r="J92" i="8"/>
  <c r="K92" i="8"/>
  <c r="I93" i="8"/>
  <c r="J93" i="8"/>
  <c r="K93" i="8"/>
  <c r="I94" i="8"/>
  <c r="J94" i="8"/>
  <c r="K94" i="8"/>
  <c r="I95" i="8"/>
  <c r="J95" i="8"/>
  <c r="K95" i="8"/>
  <c r="I96" i="8"/>
  <c r="J96" i="8"/>
  <c r="K96" i="8"/>
  <c r="I97" i="8"/>
  <c r="J97" i="8"/>
  <c r="K97" i="8"/>
  <c r="I98" i="8"/>
  <c r="J98" i="8"/>
  <c r="K98" i="8"/>
  <c r="I99" i="8"/>
  <c r="J99" i="8"/>
  <c r="K99" i="8"/>
  <c r="I100" i="8"/>
  <c r="J100" i="8"/>
  <c r="K100" i="8"/>
  <c r="I101" i="8"/>
  <c r="J101" i="8"/>
  <c r="K101" i="8"/>
  <c r="I102" i="8"/>
  <c r="J102" i="8"/>
  <c r="K102" i="8"/>
  <c r="I103" i="8"/>
  <c r="J103" i="8"/>
  <c r="K103" i="8"/>
  <c r="I104" i="8"/>
  <c r="J104" i="8"/>
  <c r="K104" i="8"/>
  <c r="I105" i="8"/>
  <c r="J105" i="8"/>
  <c r="K105" i="8"/>
  <c r="I106" i="8"/>
  <c r="J106" i="8"/>
  <c r="K106" i="8"/>
  <c r="I107" i="8"/>
  <c r="J107" i="8"/>
  <c r="K107" i="8"/>
  <c r="I109" i="8"/>
  <c r="J109" i="8"/>
  <c r="K109" i="8"/>
  <c r="I110" i="8"/>
  <c r="J110" i="8"/>
  <c r="K110" i="8"/>
  <c r="I111" i="8"/>
  <c r="J111" i="8"/>
  <c r="K111" i="8"/>
  <c r="I112" i="8"/>
  <c r="J112" i="8"/>
  <c r="K112" i="8"/>
  <c r="I113" i="8"/>
  <c r="J113" i="8"/>
  <c r="K113" i="8"/>
  <c r="I114" i="8"/>
  <c r="J114" i="8"/>
  <c r="K114" i="8"/>
  <c r="I115" i="8"/>
  <c r="J115" i="8"/>
  <c r="K115" i="8"/>
  <c r="I116" i="8"/>
  <c r="J116" i="8"/>
  <c r="K116" i="8"/>
  <c r="I117" i="8"/>
  <c r="J117" i="8"/>
  <c r="K117" i="8"/>
  <c r="I118" i="8"/>
  <c r="J118" i="8"/>
  <c r="K118" i="8"/>
  <c r="I119" i="8"/>
  <c r="J119" i="8"/>
  <c r="K119" i="8"/>
  <c r="I120" i="8"/>
  <c r="J120" i="8"/>
  <c r="K120" i="8"/>
  <c r="I121" i="8"/>
  <c r="J121" i="8"/>
  <c r="K121" i="8"/>
  <c r="I122" i="8"/>
  <c r="J122" i="8"/>
  <c r="K122" i="8"/>
  <c r="I123" i="8"/>
  <c r="J123" i="8"/>
  <c r="K123" i="8"/>
  <c r="I124" i="8"/>
  <c r="J124" i="8"/>
  <c r="K124" i="8"/>
  <c r="I125" i="8"/>
  <c r="J125" i="8"/>
  <c r="K125" i="8"/>
  <c r="I126" i="8"/>
  <c r="J126" i="8"/>
  <c r="K126" i="8"/>
  <c r="I127" i="8"/>
  <c r="J127" i="8"/>
  <c r="K127" i="8"/>
  <c r="I128" i="8"/>
  <c r="J128" i="8"/>
  <c r="K128" i="8"/>
  <c r="I129" i="8"/>
  <c r="J129" i="8"/>
  <c r="K129" i="8"/>
  <c r="I130" i="8"/>
  <c r="J130" i="8"/>
  <c r="K130" i="8"/>
  <c r="I131" i="8"/>
  <c r="J131" i="8"/>
  <c r="K131" i="8"/>
  <c r="I132" i="8"/>
  <c r="J132" i="8"/>
  <c r="K132" i="8"/>
  <c r="I133" i="8"/>
  <c r="J133" i="8"/>
  <c r="K133" i="8"/>
  <c r="I134" i="8"/>
  <c r="J134" i="8"/>
  <c r="K134" i="8"/>
  <c r="I135" i="8"/>
  <c r="J135" i="8"/>
  <c r="K135" i="8"/>
  <c r="I136" i="8"/>
  <c r="J136" i="8"/>
  <c r="K136" i="8"/>
  <c r="I137" i="8"/>
  <c r="J137" i="8"/>
  <c r="K137" i="8"/>
  <c r="I138" i="8"/>
  <c r="J138" i="8"/>
  <c r="K138" i="8"/>
  <c r="I139" i="8"/>
  <c r="J139" i="8"/>
  <c r="K139" i="8"/>
  <c r="I140" i="8"/>
  <c r="J140" i="8"/>
  <c r="K140" i="8"/>
  <c r="I141" i="8"/>
  <c r="J141" i="8"/>
  <c r="K141" i="8"/>
  <c r="I142" i="8"/>
  <c r="J142" i="8"/>
  <c r="K142" i="8"/>
  <c r="I143" i="8"/>
  <c r="J143" i="8"/>
  <c r="K143" i="8"/>
  <c r="I144" i="8"/>
  <c r="J144" i="8"/>
  <c r="K144" i="8"/>
  <c r="I145" i="8"/>
  <c r="J145" i="8"/>
  <c r="K145" i="8"/>
  <c r="I146" i="8"/>
  <c r="J146" i="8"/>
  <c r="K146" i="8"/>
  <c r="I147" i="8"/>
  <c r="J147" i="8"/>
  <c r="K147" i="8"/>
  <c r="I148" i="8"/>
  <c r="J148" i="8"/>
  <c r="K148" i="8"/>
  <c r="I149" i="8"/>
  <c r="J149" i="8"/>
  <c r="K149" i="8"/>
  <c r="I150" i="8"/>
  <c r="J150" i="8"/>
  <c r="K150" i="8"/>
  <c r="I151" i="8"/>
  <c r="J151" i="8"/>
  <c r="K151" i="8"/>
  <c r="I152" i="8"/>
  <c r="J152" i="8"/>
  <c r="K152" i="8"/>
  <c r="I153" i="8"/>
  <c r="J153" i="8"/>
  <c r="K153" i="8"/>
  <c r="I154" i="8"/>
  <c r="J154" i="8"/>
  <c r="K154" i="8"/>
  <c r="I155" i="8"/>
  <c r="J155" i="8"/>
  <c r="K155" i="8"/>
  <c r="K4" i="8"/>
  <c r="J4" i="8"/>
  <c r="I4" i="8"/>
  <c r="H142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4" i="8"/>
  <c r="I12" i="9"/>
  <c r="F13" i="12"/>
  <c r="F12" i="12"/>
  <c r="F21" i="12" s="1"/>
  <c r="K10" i="12"/>
  <c r="K21" i="12" s="1"/>
  <c r="K22" i="12" l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D1" i="1"/>
</calcChain>
</file>

<file path=xl/sharedStrings.xml><?xml version="1.0" encoding="utf-8"?>
<sst xmlns="http://schemas.openxmlformats.org/spreadsheetml/2006/main" count="2523" uniqueCount="568">
  <si>
    <t xml:space="preserve">รายชื่อพนักงาน J2K </t>
  </si>
  <si>
    <t>ลำดับ</t>
  </si>
  <si>
    <t>รหัส</t>
  </si>
  <si>
    <t>ชื่อ  -  นามสกุล</t>
  </si>
  <si>
    <t>ตำแหน่ง</t>
  </si>
  <si>
    <t>วันที่เริ่มงาน</t>
  </si>
  <si>
    <t>ปี</t>
  </si>
  <si>
    <t>วัน</t>
  </si>
  <si>
    <t>วันเกิด</t>
  </si>
  <si>
    <t>อายุ</t>
  </si>
  <si>
    <t>เพศ</t>
  </si>
  <si>
    <t>สัญชาติ</t>
  </si>
  <si>
    <t>เลขบัตรประชาชน</t>
  </si>
  <si>
    <t>เบอร์โทรศัพท์</t>
  </si>
  <si>
    <t>เลขบัญชีธนาคาร</t>
  </si>
  <si>
    <t>ธนาคาร</t>
  </si>
  <si>
    <t>สิทธิการรักษา/รพ.</t>
  </si>
  <si>
    <t>การศึกษา</t>
  </si>
  <si>
    <t>ภูมิลำเนา</t>
  </si>
  <si>
    <t>นายกิมเอิน อีท</t>
  </si>
  <si>
    <t>พ่อบ้าน</t>
  </si>
  <si>
    <t>AAM</t>
  </si>
  <si>
    <t>ชาย</t>
  </si>
  <si>
    <t>กัมพูชา</t>
  </si>
  <si>
    <t>06-1983-3706</t>
  </si>
  <si>
    <t>ชำระเงินเอง</t>
  </si>
  <si>
    <t>นางพัดมา  เชื้อวังคำ</t>
  </si>
  <si>
    <t>แม่บ้าน</t>
  </si>
  <si>
    <t>หญิง</t>
  </si>
  <si>
    <t>ไทย</t>
  </si>
  <si>
    <t>ไทยพานิชย์</t>
  </si>
  <si>
    <t>ปกส.</t>
  </si>
  <si>
    <t>รพ.ระยอง</t>
  </si>
  <si>
    <t>นางสร้อยทอง  ทองสุข</t>
  </si>
  <si>
    <t>092-930-8293</t>
  </si>
  <si>
    <t>รพ.ชลบุรี</t>
  </si>
  <si>
    <t>น.ส.สมใจ แว่นทิพย์</t>
  </si>
  <si>
    <t>รพ.สมเด็จพระบรมราชเทวี ณ ศรีราชา</t>
  </si>
  <si>
    <t>ม.ปลาย</t>
  </si>
  <si>
    <t>นางแววดาว  มุกโส</t>
  </si>
  <si>
    <t>นางพัน อุล</t>
  </si>
  <si>
    <t>082-448-9188</t>
  </si>
  <si>
    <t>นางสาวสริญญา  ชะนิดนอก</t>
  </si>
  <si>
    <t>หัวหน้าแม่บ้าน</t>
  </si>
  <si>
    <t>รพ.กรุงเทพ-ปลวกแดง</t>
  </si>
  <si>
    <t>นางลลิต อบสุนทร</t>
  </si>
  <si>
    <t>ABPR1,2</t>
  </si>
  <si>
    <t>นางสุนิตย์  พิมพ์เขียว</t>
  </si>
  <si>
    <t>086-165-9122</t>
  </si>
  <si>
    <t>รพ.ปิยะเวชช์ ระยอง</t>
  </si>
  <si>
    <t>นายสนัด  พลหาร</t>
  </si>
  <si>
    <t>สายกวาด</t>
  </si>
  <si>
    <t>นายอุ่น  แอ่นคำ</t>
  </si>
  <si>
    <t>นายสุรชัย จันทร์หอม</t>
  </si>
  <si>
    <t>รพ.พญาไท ศรีราชา</t>
  </si>
  <si>
    <t>นางสาวสร้อยทิพย์  มณีศรี</t>
  </si>
  <si>
    <t>น.ส.รัตติยา  ชมบัณฑิตย์</t>
  </si>
  <si>
    <t>ABPR3,4</t>
  </si>
  <si>
    <t>นางวราภรณ์ บุญทา</t>
  </si>
  <si>
    <t>33/2 ม.8 ต.ไผ่เขียว อ.สว่างอารมณ์ จ.อุทัยธานี</t>
  </si>
  <si>
    <t>น.ส.จิดาภา บุตรคำ</t>
  </si>
  <si>
    <t xml:space="preserve">นายประดิษฐ์  บุญสิทธ์ </t>
  </si>
  <si>
    <t>บัตร 30 บาท</t>
  </si>
  <si>
    <t>นายกฤตชัย  แซ่ตั้ง</t>
  </si>
  <si>
    <t>นายวุฒินันท์ ชมภู</t>
  </si>
  <si>
    <t>คนสวน</t>
  </si>
  <si>
    <t>ABPR5</t>
  </si>
  <si>
    <t>นางอุลา  แก้วพรม</t>
  </si>
  <si>
    <t>น.ส.หนูเอ็ม  โหมสูงเนิน</t>
  </si>
  <si>
    <t>099-4730955</t>
  </si>
  <si>
    <t>นายนูศิลป์  สมองาม</t>
  </si>
  <si>
    <t>น.ส.อรอุมา  สิงห์ทองลา</t>
  </si>
  <si>
    <t>นายณัฐวุฒิ หนูนาค</t>
  </si>
  <si>
    <t>BAT</t>
  </si>
  <si>
    <t>นางพร ทอน</t>
  </si>
  <si>
    <t>น.ส.สมหมาย  อำมาตมนตรี</t>
  </si>
  <si>
    <t>นายภูษิต  ไพคำนาม</t>
  </si>
  <si>
    <t>BW</t>
  </si>
  <si>
    <t>137 ม.5 ต.สุวรรณคาม อ.นิคมน้ำอูน จ.สกลนคร</t>
  </si>
  <si>
    <t>น.ส.แสงเดือน พันธ์ฉลามขวา</t>
  </si>
  <si>
    <t>ม.ต้น</t>
  </si>
  <si>
    <t>17 ม.2 ต.แก้งสนามนาง อ.แก้งสนามนาง จ.นครราชสีมา</t>
  </si>
  <si>
    <t>นางสาวจงจิต  บาลพิทักษ์</t>
  </si>
  <si>
    <t>52 ม.8 ต.คอนสวรรค์ อ.คอนสวรรค์ จ.ชัยภูมิ</t>
  </si>
  <si>
    <t>น.ส.พิมวาสน์ ทวิไวนุวัฒน์</t>
  </si>
  <si>
    <t>20 ม.12 ต.กล้วยกว้าง อ.ห้วยทับทัน จ.ศรีสะเกษ</t>
  </si>
  <si>
    <t>นางจิราภา  ชินบุตร</t>
  </si>
  <si>
    <t>หัวหน้างาน</t>
  </si>
  <si>
    <t>รพ.พญาไท บ่อวิน</t>
  </si>
  <si>
    <t>16 ม.7 ต.ครบุรีใต้ อ.ครบุรี จ.นครราชสีมา</t>
  </si>
  <si>
    <t>นายปรีเปรม  ศรีพายัคฆ์</t>
  </si>
  <si>
    <t>CATALER</t>
  </si>
  <si>
    <t>นางสมจิตร  โพศิริ</t>
  </si>
  <si>
    <t>น.ส.ปาริชาติ ชุนไธสง</t>
  </si>
  <si>
    <t>นางน้ำอ้อย โพธิ์เงิน</t>
  </si>
  <si>
    <t>นางนิติยา บุญเททิน</t>
  </si>
  <si>
    <t>นายธิวัฒน์  ราวัน</t>
  </si>
  <si>
    <t>DOWA</t>
  </si>
  <si>
    <t>นางเกศราพร ศิลปยามานันท์</t>
  </si>
  <si>
    <t>นางกัญญ์ณณัฏฐ์ พูลเมือง</t>
  </si>
  <si>
    <t>น.ส.อำพร  เชิงกระโทก</t>
  </si>
  <si>
    <t>FTS1</t>
  </si>
  <si>
    <t>น.ส.ปิยะดา  ปาสาจะ</t>
  </si>
  <si>
    <t>นางขำจิตร โลสิงห์</t>
  </si>
  <si>
    <t>น.ส.กนกวรรณ  พูนกลาง</t>
  </si>
  <si>
    <t>FTS2</t>
  </si>
  <si>
    <t>นางมาลี  ไชยไข</t>
  </si>
  <si>
    <t>น.ส.เกษร เข้าเมือง</t>
  </si>
  <si>
    <t>น.ส.ธัญพร มั่นยืน</t>
  </si>
  <si>
    <t>ADMIN</t>
  </si>
  <si>
    <t>J2K-officer</t>
  </si>
  <si>
    <t>นางสาวปวริศา  ฟองสมุทร</t>
  </si>
  <si>
    <t>นางอัศนา  ธรรมถาวร</t>
  </si>
  <si>
    <t>ASST.</t>
  </si>
  <si>
    <t>น.ส.ยุพดี วะโร</t>
  </si>
  <si>
    <t>Finance&amp;Accounting</t>
  </si>
  <si>
    <t>นางเนตรนภา  อินทร์ผลเล็ก</t>
  </si>
  <si>
    <t>Mgr.</t>
  </si>
  <si>
    <t>นางสาวอรอุมา  วิเวช</t>
  </si>
  <si>
    <t>Site Co.</t>
  </si>
  <si>
    <t>นางโศรยา  ประสงค์ทรัพย์</t>
  </si>
  <si>
    <t>SUP/Purchase</t>
  </si>
  <si>
    <t>นายสุนทร พานทอง</t>
  </si>
  <si>
    <t>คนขับรถ</t>
  </si>
  <si>
    <t>นายโช อ่อง</t>
  </si>
  <si>
    <t xml:space="preserve">เก็บกล่อง </t>
  </si>
  <si>
    <t>JATH</t>
  </si>
  <si>
    <t>นายเวียสนา บาว</t>
  </si>
  <si>
    <t>เก็บกล่อง S1</t>
  </si>
  <si>
    <t>นายจันที สวน</t>
  </si>
  <si>
    <t>นายทอ มิน ฮาน (ชาย)</t>
  </si>
  <si>
    <t>เก็บกล่อง S3</t>
  </si>
  <si>
    <t>นายทิน มิน อ่อง (อ่อง)</t>
  </si>
  <si>
    <t>นายวัลฮาน่า วอน</t>
  </si>
  <si>
    <t>นายแจ้ ซิน ต้าน</t>
  </si>
  <si>
    <t xml:space="preserve">นาย ซัน กู กู </t>
  </si>
  <si>
    <t>เก็บกล่อง WH</t>
  </si>
  <si>
    <t>นายซาเลต  กึ</t>
  </si>
  <si>
    <t>นายจอ มอ มอ</t>
  </si>
  <si>
    <t>นายนาย มิน</t>
  </si>
  <si>
    <t>นายซอมนาง เซือน</t>
  </si>
  <si>
    <t>เข็นขยะ</t>
  </si>
  <si>
    <t>นายสมพร เซียม</t>
  </si>
  <si>
    <t>นายเมา สอ (เมา)</t>
  </si>
  <si>
    <t>นายมิน จัน ยก (ชา)</t>
  </si>
  <si>
    <t>พนักงานขัดพื้น</t>
  </si>
  <si>
    <t>นางสุบิน  ศรีนอก</t>
  </si>
  <si>
    <t>น.ส.สาลิกา  สว่างอารมณ์</t>
  </si>
  <si>
    <t>นางทองมา  หงษ์ทอง</t>
  </si>
  <si>
    <t>นางแตน  เซือง</t>
  </si>
  <si>
    <t>นางเม โช อ่อง (เมโช)</t>
  </si>
  <si>
    <t>เมียนมา</t>
  </si>
  <si>
    <t>นางเยท ฮาน</t>
  </si>
  <si>
    <t>นางบัวหอม อนันทวรรณ์</t>
  </si>
  <si>
    <t>นางสาวโรท ธีม</t>
  </si>
  <si>
    <t>นางซีเอ๊ะ เมา</t>
  </si>
  <si>
    <t>นางชิตน  กง</t>
  </si>
  <si>
    <t>นางม่วย  ชมวงษ์ษา</t>
  </si>
  <si>
    <t>นางวันนี ดวง</t>
  </si>
  <si>
    <t>ล้างจาน</t>
  </si>
  <si>
    <t>นางดาเลีย ดองลียอ</t>
  </si>
  <si>
    <t>นางสาวอัญชลี  วงค์ใหญ่</t>
  </si>
  <si>
    <t>น.ส.เสาวรักษ์ จั่นอยู่</t>
  </si>
  <si>
    <t>LCIT B5</t>
  </si>
  <si>
    <t>นางบุญนาง ทองประภา</t>
  </si>
  <si>
    <t>น.ส.ศิริพร พันธ์ลำภู</t>
  </si>
  <si>
    <t>น.ส.นงค์เยาว์ ผสมโค</t>
  </si>
  <si>
    <t>นางมณฑิกา ประกาฬโพธิ์</t>
  </si>
  <si>
    <t>น.ส.นิภาพร บุญประกอบ</t>
  </si>
  <si>
    <t>นายสุระเดช วารีรัตน์</t>
  </si>
  <si>
    <t>คนกวาดลาน</t>
  </si>
  <si>
    <t>LCIT C3</t>
  </si>
  <si>
    <t>นางพันธ์ลา  บุญทอง</t>
  </si>
  <si>
    <t>น.ส.ดอกรัก อินทร์จันทร์</t>
  </si>
  <si>
    <t>น.ส.นงค์นุช ว่องไว</t>
  </si>
  <si>
    <t>น.ส.สุภาวดี พรมเวียง</t>
  </si>
  <si>
    <t>น.ส.ณัฎฐ์นรี  ทองปาน</t>
  </si>
  <si>
    <t>นางมานพ ฤทธิ์บำรุง</t>
  </si>
  <si>
    <t>นางปรียาภรณ์ ผลทวี</t>
  </si>
  <si>
    <t>นางเดือน กะทิพรมราช</t>
  </si>
  <si>
    <t>Misumi</t>
  </si>
  <si>
    <t>53/1 ม.8 ต.ลำนางแก้ว อ.ปักธงชัย จ.นครราชสีมา</t>
  </si>
  <si>
    <t>นางสำเนียง โกศล</t>
  </si>
  <si>
    <t>36 ม.4 ต.ตองปิด อ.น้ำเกลี้ยง จ.ศรีสะเกษ</t>
  </si>
  <si>
    <t>นางสายสร้อย ใจบุญ</t>
  </si>
  <si>
    <t>403 ม.9 ต.โพทะเล อ.โพทะเล จ.พิจิตร</t>
  </si>
  <si>
    <t>นายราชัน ไชยวัน</t>
  </si>
  <si>
    <t>MTAT</t>
  </si>
  <si>
    <t>นายวัชรินทร์ ชัยวงษา</t>
  </si>
  <si>
    <t>นางบัวพา ดวงมาลา</t>
  </si>
  <si>
    <t>ลาว</t>
  </si>
  <si>
    <t>น.ส.สกุณา รอบคอบ</t>
  </si>
  <si>
    <t>ปรียาพรรณ  ฟูวุฒิ</t>
  </si>
  <si>
    <t>นายบุญสืบ ธรรมนุสสรณ์</t>
  </si>
  <si>
    <t>SFT</t>
  </si>
  <si>
    <t>น.ส.เว จูลี่ วิน (หนู)</t>
  </si>
  <si>
    <t>น.ส.พิมษร  มลศิลป์</t>
  </si>
  <si>
    <t>นางแวง วงสิยา</t>
  </si>
  <si>
    <t>Spare J2k</t>
  </si>
  <si>
    <t>นางสมบัติ สุพรรณ์</t>
  </si>
  <si>
    <t>นางอาย  ชอร์น</t>
  </si>
  <si>
    <t>นายสังวาลย์ อุดโค</t>
  </si>
  <si>
    <t>นายตึด  อาด</t>
  </si>
  <si>
    <t>SSMC1</t>
  </si>
  <si>
    <t>นางอี อัง</t>
  </si>
  <si>
    <t>นางสาวทศพร  ทองประภา</t>
  </si>
  <si>
    <t>น.ส.ดวงใจ แซ่ลิ้ม</t>
  </si>
  <si>
    <t>นายประสิทธ์  บุดดาเคน</t>
  </si>
  <si>
    <t>SSMC2</t>
  </si>
  <si>
    <t>นายอุทัย บำเพ็ญ</t>
  </si>
  <si>
    <t>TIPS</t>
  </si>
  <si>
    <t>นายวสันต์ เรืองเดชผล</t>
  </si>
  <si>
    <t>น.ส.รจนา อุ่นคำ</t>
  </si>
  <si>
    <t>น.ส.สำเนียง เฟื่องฟู</t>
  </si>
  <si>
    <t>น.ส.สุณิสา แก้วบุญเรือง</t>
  </si>
  <si>
    <t>น.ส.ภัทลดา ผงสูงเนิน</t>
  </si>
  <si>
    <t>น.ส.พัชดาพร เกษประทุม</t>
  </si>
  <si>
    <t>นางอุมาพร ควบพิมาย</t>
  </si>
  <si>
    <t>น.ส.สุพรรณมณี ยอดหอ</t>
  </si>
  <si>
    <t>นางสาวสุพรรณิภา  สุพรรณ์</t>
  </si>
  <si>
    <t>NSA</t>
  </si>
  <si>
    <t>นางสังเวียน  ศรีหงษ์</t>
  </si>
  <si>
    <t>น.ส.เสาวนีย์  เจริญสุข</t>
  </si>
  <si>
    <t>Misubishi</t>
  </si>
  <si>
    <t>นางไพรวรรณ  นุ่มพุฒ</t>
  </si>
  <si>
    <t>น.ส.พัสดา  ชมภูมี</t>
  </si>
  <si>
    <t>TFI</t>
  </si>
  <si>
    <t>นางไพร วิจิตพงศ์</t>
  </si>
  <si>
    <t>TNT</t>
  </si>
  <si>
    <t>นางบุญเย็น ไชยวัน</t>
  </si>
  <si>
    <t>นายสียม  เชื้อคำจันทร์</t>
  </si>
  <si>
    <t>BRUCKNER</t>
  </si>
  <si>
    <t>นางบังอร  พสุรัตน์</t>
  </si>
  <si>
    <t>CHIKUMA</t>
  </si>
  <si>
    <t>นางเล็ก  ทาทอง</t>
  </si>
  <si>
    <t>KYT</t>
  </si>
  <si>
    <t>น.ส.วรรณพร  รื่นเริง</t>
  </si>
  <si>
    <t>LCTH</t>
  </si>
  <si>
    <t>น.ส.อุษา  แดไชย</t>
  </si>
  <si>
    <t>LSTH</t>
  </si>
  <si>
    <t>น.ส.วัลยา จาตุรงค์</t>
  </si>
  <si>
    <t>NIKKO</t>
  </si>
  <si>
    <t>นางดวง เพชรบุตร</t>
  </si>
  <si>
    <t>NS-OG(SPT)</t>
  </si>
  <si>
    <t>น.ส.สนอง สิงหา</t>
  </si>
  <si>
    <t>NS-OG(YRT)</t>
  </si>
  <si>
    <t>น.ส.ปาริสรา บุญจันทร์</t>
  </si>
  <si>
    <t>Shred Tech</t>
  </si>
  <si>
    <t>นางสุภาพร เพียนดี</t>
  </si>
  <si>
    <t>STDI</t>
  </si>
  <si>
    <t>นางสมปอง  งามสม</t>
  </si>
  <si>
    <t>SYC</t>
  </si>
  <si>
    <t xml:space="preserve"> </t>
  </si>
  <si>
    <t>ประวัติ</t>
  </si>
  <si>
    <t>ชื่อ</t>
  </si>
  <si>
    <t>นามสกุล</t>
  </si>
  <si>
    <t>พนักงานบริษัท</t>
  </si>
  <si>
    <t>โทรศัพท์</t>
  </si>
  <si>
    <t>วัน/เดือน/ปี เกิด</t>
  </si>
  <si>
    <t>เชื้อชาติ</t>
  </si>
  <si>
    <t>วุฒิการศึกษาชั้นสูงสุด</t>
  </si>
  <si>
    <t>ที่อยู่ปัจจุบัน</t>
  </si>
  <si>
    <t>q</t>
  </si>
  <si>
    <t>บัตรประจำตัวประชาชนหรือหนังสือเดินทางเลขที่</t>
  </si>
  <si>
    <t>ออกโดย</t>
  </si>
  <si>
    <t>ที่อยู่ตามสำเนาทะเบียน</t>
  </si>
  <si>
    <t>สถานภาพ</t>
  </si>
  <si>
    <t>โสด</t>
  </si>
  <si>
    <t>สมรส</t>
  </si>
  <si>
    <t>อื่นๆ</t>
  </si>
  <si>
    <t>ผู้ที่มาติดต่อได้กรณีฉุกเฉิน       ชื่อ</t>
  </si>
  <si>
    <t>ที่อยู่</t>
  </si>
  <si>
    <t>ลงชื่อ</t>
  </si>
  <si>
    <t>และข้าพเจ้าขอรับรองว่าข้อความที่ข้าพเจ้าเขียนข้างต้นเป็นจริงทุกประการ</t>
  </si>
  <si>
    <t>(                                                            )</t>
  </si>
  <si>
    <t>สำเนาบัตรประชาชน  หรือ</t>
  </si>
  <si>
    <t>ใบอนุญาตทำงานสำหรับบุคคลต่างด้าว</t>
  </si>
  <si>
    <t>บริษัท เจทูเค เฮ้าส์คีพปิ้ง เซอร์วิส จำกัด</t>
  </si>
  <si>
    <t xml:space="preserve">J2K Housekeeping Service Co., Ltd. </t>
  </si>
  <si>
    <t>235 หมู่ที่ 4 ตำบลปลวกแดง อำเภอปลวกแดง จังหวัดระยอง 21140 โทรศัพท์  097-253-9456</t>
  </si>
  <si>
    <t xml:space="preserve">รหัสพนักงาน </t>
  </si>
  <si>
    <t>0116</t>
  </si>
  <si>
    <t xml:space="preserve">ชื่อ-นามสกุล  </t>
  </si>
  <si>
    <t>นาง จิราภา  ชินบุตร</t>
  </si>
  <si>
    <t>รายการรับ (Income)</t>
  </si>
  <si>
    <t>รายการหัก (Deduction)</t>
  </si>
  <si>
    <t>เงินเดือน/Sarary</t>
  </si>
  <si>
    <t>หักค่าภาษี ณ ที่จ่าย/Tax</t>
  </si>
  <si>
    <t>แรงรายวัน/Daily</t>
  </si>
  <si>
    <t>x</t>
  </si>
  <si>
    <t>ประกันสังคม/Social Security</t>
  </si>
  <si>
    <t>ค่าน้ำมัน/Gassoline</t>
  </si>
  <si>
    <t>หักอื่นๆ</t>
  </si>
  <si>
    <t>ค่าล่วงเวลา/โอที (1)</t>
  </si>
  <si>
    <t>ชม.</t>
  </si>
  <si>
    <t>ค่าล่วงเวลา/โอที (1.5)</t>
  </si>
  <si>
    <t>ค่าล่วงเวลา/โอที (2)</t>
  </si>
  <si>
    <t>ค่าล่วงเวลา/โอที (3)</t>
  </si>
  <si>
    <t>เบี้ยขยัน</t>
  </si>
  <si>
    <t>ค่าร้อน</t>
  </si>
  <si>
    <t>ค่าอาหาร</t>
  </si>
  <si>
    <t>ค่ากะ</t>
  </si>
  <si>
    <t>รับอื่นๆ</t>
  </si>
  <si>
    <t>รวมรับ (gross Earning)</t>
  </si>
  <si>
    <t>รวมหัก (Total Deduction)</t>
  </si>
  <si>
    <t>เงินรับสุทธิ (Net Pay)</t>
  </si>
  <si>
    <t>30 กันยายน 2026</t>
  </si>
  <si>
    <t>หมายเลขบัตรผู้เสียภาษี</t>
  </si>
  <si>
    <t xml:space="preserve"> 1-4603-00011-72-0</t>
  </si>
  <si>
    <t xml:space="preserve">ตำแหน่ง (Position)  </t>
  </si>
  <si>
    <t>หัวหน้าพนักงานทำความสะอาด</t>
  </si>
  <si>
    <t xml:space="preserve">วันที่เริ่มงาน </t>
  </si>
  <si>
    <t>ข้าพเจ้ายินยอมให้ตรวจสอบประวัติอาชญากรรม  โดยการพิมพ์ลายนิ้วมือ  เมื่อ J2K ต้องการตรวจสอบ</t>
  </si>
  <si>
    <t>ลายมือชื่อหัวหน้างาน</t>
  </si>
  <si>
    <t>ลายมือชื่อพนักงาน</t>
  </si>
  <si>
    <t>เอกสารประกอบ</t>
  </si>
  <si>
    <t>รูปถ่าย ขนาด 1 นิ้ว จำนวน 1 รูป</t>
  </si>
  <si>
    <t>บริษัท อเมริกัน แอ็คเซิล แอนด์ แมนูแฟคเจอริ่ง (ประเทศไทย) จำกัด</t>
  </si>
  <si>
    <t>บริษัท บอร์กวอร์เนอร์ พีดีเอส (ประเทศไทย) จำกัด</t>
  </si>
  <si>
    <t>บริษัท โบโชคุ ออโตโมทีฟ (ประเทศไทย) จำกัด</t>
  </si>
  <si>
    <t>บริษัท แคททาเลอร์ (ประเทศไทย) จำกัด</t>
  </si>
  <si>
    <t>บริษัท โดวะ เทอร์โมเทค (ประเทศไทย) จำกัด</t>
  </si>
  <si>
    <t>บริษัท เอฟทีเอส ออโตโมทีฟ (ไทยแลนด์) จำกัด (สำนักงานใหญ่)</t>
  </si>
  <si>
    <t>บริษัท เจเทคโตะ ออโตโมทีฟ (ไทยแลนด์) จำกัด</t>
  </si>
  <si>
    <t>บริษัท เอฟทีเอส ออโตโมทีฟ (ไทยแลนด์) จำกัด(สาขา 00001)</t>
  </si>
  <si>
    <t>บริษัท แหลมฉบัง อินเตอร์เนชั่นแนล เทอร์มินอล จำกัด(สำนักงานใหญ่)</t>
  </si>
  <si>
    <t>บริษัท แหลมฉบัง อินเตอร์เนชั่นแนล เทอร์มินอล จำกัด(สาขา 00001)</t>
  </si>
  <si>
    <t>CODE</t>
  </si>
  <si>
    <t>ตัวย่อโรงงาน</t>
  </si>
  <si>
    <t>ชื่อเต็มโรงงาน</t>
  </si>
  <si>
    <t>นายปณิธาน ลานทองกุล</t>
  </si>
  <si>
    <t>อนุมัติ</t>
  </si>
  <si>
    <t>ดูได้ทั้งหมด</t>
  </si>
  <si>
    <t>เวลาเข้า-ออก</t>
  </si>
  <si>
    <t>Attendance</t>
  </si>
  <si>
    <t>slip</t>
  </si>
  <si>
    <t>Customer</t>
  </si>
  <si>
    <t>เงินเดือน</t>
  </si>
  <si>
    <t>เวลาเข้าทำงาน</t>
  </si>
  <si>
    <t>เวลาออกทำงาน</t>
  </si>
  <si>
    <t>เวลาเข้าโอที</t>
  </si>
  <si>
    <t>เวลาออกโอที</t>
  </si>
  <si>
    <t>แม่บ้านกะเช้า</t>
  </si>
  <si>
    <t>แม่บ้านกะดึก</t>
  </si>
  <si>
    <t>แม่บ้านออฟฟิศ(1)</t>
  </si>
  <si>
    <t>กะเช้า</t>
  </si>
  <si>
    <t>กะดึก</t>
  </si>
  <si>
    <t>คนสวน/สายกวาด</t>
  </si>
  <si>
    <t>นิคมอุตสาหกรรมเหมราช</t>
  </si>
  <si>
    <t>นิคมอุตสาหกรรมอีสเทิร์นซีบอร์ด (ระยอง)</t>
  </si>
  <si>
    <t>นิคมอุตสาหกรรมอมตะซิตี้ ระยอง</t>
  </si>
  <si>
    <t>บริษัท ที ไอ พี เอส จำกัด (สาขา00001)</t>
  </si>
  <si>
    <t>นิคมอุตสากรรมปิ่นทอง 4</t>
  </si>
  <si>
    <t>นิคมอุตสากรรมปิ่นทอง 5</t>
  </si>
  <si>
    <t>บริษัท เชร็ด-เทค เอเซีย จำกัด</t>
  </si>
  <si>
    <t>นิคมอุตสาหกรรมดับบลิวเอชเอ ชลบุรี 1</t>
  </si>
  <si>
    <t>บริษัท บรุคเนอร์ กรุ๊ป เอเชีย-แปซิฟิก จำกัด</t>
  </si>
  <si>
    <t>นิคมอุตสาหกรรมดับบลิวเอชเอ อีสเทิร์นซีบอร์ด 1</t>
  </si>
  <si>
    <t>บริษัท ทานาเท็กซ์ เคมีเคิลส์ (ไทยแลนด์) จำกัด</t>
  </si>
  <si>
    <t>บริษัท จิคุมะ (ประเทศไทย) จำกัด</t>
  </si>
  <si>
    <t>แหลมฉบัง</t>
  </si>
  <si>
    <t>ที่ตั้ง</t>
  </si>
  <si>
    <t>รายเดือน</t>
  </si>
  <si>
    <t>รายวัน</t>
  </si>
  <si>
    <t>ค่าเดินทาง</t>
  </si>
  <si>
    <t>ค่าล้างจาน</t>
  </si>
  <si>
    <t>ค่าทักษะ</t>
  </si>
  <si>
    <t>ค่าSkill</t>
  </si>
  <si>
    <t>Incentive</t>
  </si>
  <si>
    <t>ค่าโทร</t>
  </si>
  <si>
    <t>ค่าตำแหน่ง</t>
  </si>
  <si>
    <t>ค่าเช่าบ้าน</t>
  </si>
  <si>
    <t>ค่าประสานงาน</t>
  </si>
  <si>
    <t>รหัสพนักงาน</t>
  </si>
  <si>
    <t>เอกสารส่งตัวพนักงาน</t>
  </si>
  <si>
    <t>วันที่</t>
  </si>
  <si>
    <t>ถนน 331</t>
  </si>
  <si>
    <t>WH วังตาผิน</t>
  </si>
  <si>
    <t>บจก.เลสชาโก้  (ประเทศไทย)</t>
  </si>
  <si>
    <t>MISUMI  (THAILAND) CO., LTD.</t>
  </si>
  <si>
    <t>บจก.นิกโก้ เอเชีย เอ็นจิเนียริ่ง (ประเทศไทย)</t>
  </si>
  <si>
    <t>บจก.เคยัง พาวเวอร์ ทูลล์</t>
  </si>
  <si>
    <t>บจก.โตโย ฟิลลิ่ง อินเตอร์เนชั่นแนล</t>
  </si>
  <si>
    <t>Amata Bgrimm Power (Rayong)  2 Limited</t>
  </si>
  <si>
    <t>Amata Bgrimm Power (Rayong)  3 Limited</t>
  </si>
  <si>
    <t>Amata Bgrimm Power (Rayong) 5 Limited</t>
  </si>
  <si>
    <t>บจก.เอ็นเอส-โอจี เอนเนอร์จี โซลูชั่น (ไทยแลนด์)</t>
  </si>
  <si>
    <t>บจก.สยามไทโก ดรัม อินดัสตรี้ส์</t>
  </si>
  <si>
    <t>บจก.เอ็มแอนด์ที อัลไลด์ เทคโนโลยี่ส์</t>
  </si>
  <si>
    <t>บจก.สมบูรณณ์ ฟอร์จจิ้ง เทคโนโลยี</t>
  </si>
  <si>
    <t>บจก.สมบูรณ์ โซมิค แมนูแฟคเจอริ่ง</t>
  </si>
  <si>
    <t>บจก.นิชินโบะ สมบูรณ์ ออโตโมทีฟ</t>
  </si>
  <si>
    <t>บจก.มิตซูบิชิ เคมีคอล แอดวานซ์ (ประเทศไทย)</t>
  </si>
  <si>
    <t>บจก.สยาม ยามาโมริ</t>
  </si>
  <si>
    <t>นางสาวชุลีพร  แซ่เอี๊ยว</t>
  </si>
  <si>
    <t>NS-OG (YRT)</t>
  </si>
  <si>
    <t>รพ.วิภาราม</t>
  </si>
  <si>
    <t>นางสุเพี้ยะ เซือง</t>
  </si>
  <si>
    <t>รพ.วิภาราม แหลมฉบัง</t>
  </si>
  <si>
    <t>ไม่เข้า ปกส.</t>
  </si>
  <si>
    <t>นายกำไล  เหนือเกาะหวาย</t>
  </si>
  <si>
    <t>นางจารุวรรณ  แก้วมูล</t>
  </si>
  <si>
    <t>นายอาคม ทับจังหรีด</t>
  </si>
  <si>
    <t>รพ.พญาไท</t>
  </si>
  <si>
    <t>รพ.ปลวกแดง</t>
  </si>
  <si>
    <t>นางสาวกิมลาง ไซร (เรียง กิมลาง)</t>
  </si>
  <si>
    <t>นายบุญเรือง เอง</t>
  </si>
  <si>
    <t>21/8/202</t>
  </si>
  <si>
    <t>น.ส.ปัญญา จันทรังษี</t>
  </si>
  <si>
    <t>น.ส.นุช  เงินสมบัติ</t>
  </si>
  <si>
    <t>นางณัฐวิภา โพธิ์สุข</t>
  </si>
  <si>
    <t>หน่วยงาน</t>
  </si>
  <si>
    <t>MG717133</t>
  </si>
  <si>
    <t>1 2006 00086 77 8</t>
  </si>
  <si>
    <t>095- 963- 0622</t>
  </si>
  <si>
    <t>MG783114</t>
  </si>
  <si>
    <t>ชื่อลูกค้า</t>
  </si>
  <si>
    <t>Email</t>
  </si>
  <si>
    <t>โทร.</t>
  </si>
  <si>
    <t>คุณณัฐ</t>
  </si>
  <si>
    <t>Nattaphon.Khansorn@leschaco.com</t>
  </si>
  <si>
    <t>097-134 9609</t>
  </si>
  <si>
    <t>คุณสุกัญญา (ฝน)</t>
  </si>
  <si>
    <t>sukanya.5tfs.m@misumi.co.th</t>
  </si>
  <si>
    <t>097-156 9897</t>
  </si>
  <si>
    <t>คุณวา</t>
  </si>
  <si>
    <t>lo.lawan@nikko-net.com</t>
  </si>
  <si>
    <t>089 776 7645</t>
  </si>
  <si>
    <t>คุณใบเตย</t>
  </si>
  <si>
    <t>AUbonla@shred-tech.com</t>
  </si>
  <si>
    <t>943-506-502</t>
  </si>
  <si>
    <t>คุณน้อง</t>
  </si>
  <si>
    <t>Sarinee.Kongcharoen@tanatexchemicals.com</t>
  </si>
  <si>
    <t>095 046 7137</t>
  </si>
  <si>
    <t>คุณเอิร์ก</t>
  </si>
  <si>
    <t>Trongkamon.Kongsopa@brueckner.com</t>
  </si>
  <si>
    <t>061 343 2528</t>
  </si>
  <si>
    <t>คุณอุ้ม</t>
  </si>
  <si>
    <t>accounting@chikuma.co.th</t>
  </si>
  <si>
    <t>038-029500-3 Ext. 10</t>
  </si>
  <si>
    <t>คุณแวว</t>
  </si>
  <si>
    <t>Widchayaporn.Thakham@aam.com</t>
  </si>
  <si>
    <t>089-2453192</t>
  </si>
  <si>
    <t>คุณฟ้า</t>
  </si>
  <si>
    <t>wipaporn@tfi.co.th</t>
  </si>
  <si>
    <t>038-950300</t>
  </si>
  <si>
    <t>คุณแตงกวา</t>
  </si>
  <si>
    <t>Praphasri.k@bgrimmpower.com</t>
  </si>
  <si>
    <t>098 932 6452</t>
  </si>
  <si>
    <t>คุณโอ๋</t>
  </si>
  <si>
    <t xml:space="preserve">mathurot.w@bgrimmpower.com </t>
  </si>
  <si>
    <t>คุณต่าย</t>
  </si>
  <si>
    <t>narumon.i@bgrimmpower.com</t>
  </si>
  <si>
    <t>089-761 9595</t>
  </si>
  <si>
    <t>คุณฝน</t>
  </si>
  <si>
    <t>คุณปาริชาติ</t>
  </si>
  <si>
    <t>parichart@taikogroup.net</t>
  </si>
  <si>
    <t>092-918-7458</t>
  </si>
  <si>
    <t>คุณปุ้ม</t>
  </si>
  <si>
    <t>tippawan.chuyingsakuntip@toyota-boshoku.com</t>
  </si>
  <si>
    <t>038-923-600, Ext.2103 </t>
  </si>
  <si>
    <t>swannipa@borgwarner.com</t>
  </si>
  <si>
    <t>คุณแบงค์</t>
  </si>
  <si>
    <t xml:space="preserve">weeraphat@cataler.co.th </t>
  </si>
  <si>
    <t>033 103 770-97 Ext. 1005</t>
  </si>
  <si>
    <t>คุณชุ</t>
  </si>
  <si>
    <t>wichuta@dowa-tht.co.th</t>
  </si>
  <si>
    <t>097-957 4107</t>
  </si>
  <si>
    <t>คุณอั้ม</t>
  </si>
  <si>
    <t>ratchatap@jtekt-th.co.th</t>
  </si>
  <si>
    <t>033-683-500 Ext. 104</t>
  </si>
  <si>
    <t>คุณเอส</t>
  </si>
  <si>
    <t>Tanakamol_O@mtat.co.th</t>
  </si>
  <si>
    <t>099-028-1298</t>
  </si>
  <si>
    <t>คุณยุ้ย</t>
  </si>
  <si>
    <t>varaporn.k@somboon.co.th</t>
  </si>
  <si>
    <t>038 95-9065 Ext.5181</t>
  </si>
  <si>
    <t>คุณเอ</t>
  </si>
  <si>
    <t>waralai_c@ssmc.co.th</t>
  </si>
  <si>
    <t>082-2082887</t>
  </si>
  <si>
    <t>คุณบาส</t>
  </si>
  <si>
    <t>thitiwat@nsa.co.th</t>
  </si>
  <si>
    <t>038-954448-51 ต่อ 231</t>
  </si>
  <si>
    <t>Jutamas.Kan-Ubon@mcgc.com</t>
  </si>
  <si>
    <t>066-33-659141 #124</t>
  </si>
  <si>
    <t>คุณเนตรนภา</t>
  </si>
  <si>
    <t>Email: Natenapha.k@nset.co.th</t>
  </si>
  <si>
    <t>082-251-9499</t>
  </si>
  <si>
    <t>คุณจุ๋ม</t>
  </si>
  <si>
    <t>adminstaff@yamamorithai.com</t>
  </si>
  <si>
    <t>086-3210064</t>
  </si>
  <si>
    <t>คุณบุ๋ม</t>
  </si>
  <si>
    <t>Tassanee.Rabalerd@lcit.com</t>
  </si>
  <si>
    <t>080 074 9957</t>
  </si>
  <si>
    <t>คุณจอย</t>
  </si>
  <si>
    <t>kornwika@tips.co.th</t>
  </si>
  <si>
    <t>คุณจ็อบ</t>
  </si>
  <si>
    <t>th-hr@cnshenmao.com</t>
  </si>
  <si>
    <t>090-9578289</t>
  </si>
  <si>
    <t>INCOME</t>
  </si>
  <si>
    <t>Deduction</t>
  </si>
  <si>
    <t>หักเงินสงเคราะห์</t>
  </si>
  <si>
    <t>หัก ปกส. 5%</t>
  </si>
  <si>
    <t>หัก 1%,3%</t>
  </si>
  <si>
    <t>โอที(1)</t>
  </si>
  <si>
    <t>โอที(1.5)</t>
  </si>
  <si>
    <t>โอที(2)</t>
  </si>
  <si>
    <t>โอที(3)</t>
  </si>
  <si>
    <t xml:space="preserve">                  </t>
  </si>
  <si>
    <t xml:space="preserve"> “The Best Quality Service is our Professional Duty”</t>
  </si>
  <si>
    <t xml:space="preserve">แบบฟอร์มสรุปเวลาทำงานของพนักงาน                          </t>
  </si>
  <si>
    <t>โอที</t>
  </si>
  <si>
    <t>เวลาเข้า</t>
  </si>
  <si>
    <t>เวลาออก</t>
  </si>
  <si>
    <t>รอบ</t>
  </si>
  <si>
    <t>เวลาทำงาน</t>
  </si>
  <si>
    <t>เวลาทำโอที</t>
  </si>
  <si>
    <t>รวม</t>
  </si>
  <si>
    <t>ค่า Skill</t>
  </si>
  <si>
    <t xml:space="preserve">หัก ภาษี </t>
  </si>
  <si>
    <t>หัก เงินสงเคราะห์</t>
  </si>
  <si>
    <t>โอที (1)</t>
  </si>
  <si>
    <t>โอที (1.5)</t>
  </si>
  <si>
    <t>โอที (2)</t>
  </si>
  <si>
    <t>โอที (3)</t>
  </si>
  <si>
    <t>รอบ 21-20</t>
  </si>
  <si>
    <t>รายการหัก</t>
  </si>
  <si>
    <t>รายรับ</t>
  </si>
  <si>
    <t>รวมรายรับ</t>
  </si>
  <si>
    <t>รหัสพนักงาน…..............</t>
  </si>
  <si>
    <t xml:space="preserve">ชื่อ-สกุล  …...................................................................................  </t>
  </si>
  <si>
    <t>รอบ ….............................................................................</t>
  </si>
  <si>
    <t>บริษัท อมตะ บี.กริม เพาเวอร์ (ระยอง) 5 จำกัด</t>
  </si>
  <si>
    <t>บริษัท อมตะ บี.กริม เพาเวอร์ (ระยอง) 1 จำกัด</t>
  </si>
  <si>
    <t>บริษัท อมตะ บี.กริม เพาเวอร์ (ระยอง) 3 จำกัด</t>
  </si>
  <si>
    <t>บริษัท เลสชาโก้ คัสตอม เคลียเรนซ์ (ประเทศไทย) จำกัด</t>
  </si>
  <si>
    <t>บริษัท เจทูเค เฮ้าส์คีพปิ้ง เซอร์วิสจำกัด</t>
  </si>
  <si>
    <t>MISUMI  (THAILAND) CO., LTD. (331)</t>
  </si>
  <si>
    <t>MISUMI  (THAILAND) CO., LTD. (ซอย5)</t>
  </si>
  <si>
    <t>MISUMI  (THAILAND) CO., LTD. (WH)</t>
  </si>
  <si>
    <t>บจก.สมบูรณ์ โซมิค แมนูแฟคเจอริ่ง (โรง 1)</t>
  </si>
  <si>
    <t>บจก.สมบูรณ์ โซมิค แมนูแฟคเจอริ่ง (โรง 2)</t>
  </si>
  <si>
    <t>บจก.เอ็นเอส-โอจี เอนเนอร์จี โซลูชั่น (ไทยแลนด์) (SPT)</t>
  </si>
  <si>
    <t>บจก.เอ็นเอส-โอจี เอนเนอร์จี โซลูชั่น (ไทยแลนด์) (YRT)</t>
  </si>
  <si>
    <t>วันทำงานx25</t>
  </si>
  <si>
    <t>ค่าเดินทาง (ไม่มาทำงานหัก 35 บาท/วัน)</t>
  </si>
  <si>
    <t>บริษัท เจทูเค เทรดดิ้ง จำกัด</t>
  </si>
  <si>
    <t>J2K</t>
  </si>
  <si>
    <t>ค่าร้อน (ไม่มาทำงานหัก 17 บาท/วัน)</t>
  </si>
  <si>
    <t>วันทำงานx35</t>
  </si>
  <si>
    <t>วันทำงานx150</t>
  </si>
  <si>
    <t>แม่บ้าน กะดึก</t>
  </si>
  <si>
    <t>แม่บ้าน  กะเช้า</t>
  </si>
  <si>
    <t>500-1,000</t>
  </si>
  <si>
    <t>500-1,200</t>
  </si>
  <si>
    <t>ค่าอาหารโอที</t>
  </si>
  <si>
    <t>วันทำโอทีx15</t>
  </si>
  <si>
    <t>วันทำงานx30</t>
  </si>
  <si>
    <t>วันทำงานx40</t>
  </si>
  <si>
    <t>300-1,000</t>
  </si>
  <si>
    <t>วันทำงานx50</t>
  </si>
  <si>
    <t>วันทำงานX35</t>
  </si>
  <si>
    <t>SALE</t>
  </si>
  <si>
    <t>ลากิจ (3วัน)x400</t>
  </si>
  <si>
    <t>ลาป่วย (30 วัน)x400</t>
  </si>
  <si>
    <t>ลาพักร้อน (6วัน)x400</t>
  </si>
  <si>
    <t>วันหยุดประเพณีx400</t>
  </si>
  <si>
    <t>เอกสารส่งตัว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</si>
</sst>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[$-1000000]0\ 0000\ 00000\ 00\ 0"/>
    <numFmt numFmtId="166" formatCode="[&lt;=99999999][$-1000000]0\-####\-####;[$-1000000]#\-####\-####"/>
    <numFmt numFmtId="167" formatCode="[$-1010000]d/m/yyyy;@"/>
    <numFmt numFmtId="168" formatCode="000\-\ 000\-\ 0000"/>
    <numFmt numFmtId="169" formatCode="00"/>
    <numFmt numFmtId="170" formatCode="000000"/>
    <numFmt numFmtId="171" formatCode="0000"/>
    <numFmt numFmtId="172" formatCode="_-* #,##0_-;\-* #,##0_-;_-* &quot;-&quot;??_-;_-@_-"/>
  </numFmts>
  <fonts count="21">
    <font>
      <sz val="11"/>
      <color theme="1"/>
      <name val="Calibri"/>
      <family val="2"/>
      <charset val="222"/>
      <scheme val="minor"/>
    </font>
    <font>
      <sz val="16"/>
      <name val="AngsanaUPC"/>
      <family val="1"/>
    </font>
    <font>
      <sz val="16"/>
      <color theme="1"/>
      <name val="AngsanaUPC"/>
      <family val="1"/>
    </font>
    <font>
      <i/>
      <sz val="16"/>
      <color theme="1"/>
      <name val="AngsanaUPC"/>
      <family val="1"/>
    </font>
    <font>
      <i/>
      <sz val="16"/>
      <name val="AngsanaUPC"/>
      <family val="1"/>
    </font>
    <font>
      <sz val="11"/>
      <color theme="1"/>
      <name val="Calibri"/>
      <family val="2"/>
      <scheme val="minor"/>
    </font>
    <font>
      <sz val="14"/>
      <name val="Cordia New"/>
      <family val="2"/>
      <charset val="222"/>
    </font>
    <font>
      <sz val="11"/>
      <color theme="1"/>
      <name val="Calibri"/>
      <family val="2"/>
      <charset val="222"/>
      <scheme val="minor"/>
    </font>
    <font>
      <sz val="14"/>
      <color theme="1"/>
      <name val="AngsanaUPC"/>
      <family val="1"/>
    </font>
    <font>
      <sz val="14"/>
      <color theme="1"/>
      <name val="Wingdings"/>
      <charset val="2"/>
    </font>
    <font>
      <b/>
      <sz val="16"/>
      <color theme="1"/>
      <name val="AngsanaUPC"/>
      <family val="1"/>
    </font>
    <font>
      <sz val="8"/>
      <name val="Calibri"/>
      <family val="2"/>
      <charset val="222"/>
      <scheme val="minor"/>
    </font>
    <font>
      <u/>
      <sz val="20"/>
      <color theme="1"/>
      <name val="AngsanaUPC"/>
      <family val="1"/>
    </font>
    <font>
      <sz val="16"/>
      <color rgb="FFFF0000"/>
      <name val="AngsanaUPC"/>
      <family val="1"/>
    </font>
    <font>
      <b/>
      <u/>
      <sz val="16"/>
      <color theme="1"/>
      <name val="AngsanaUPC"/>
      <family val="1"/>
    </font>
    <font>
      <b/>
      <sz val="16"/>
      <name val="AngsanaUPC"/>
      <family val="1"/>
    </font>
    <font>
      <b/>
      <sz val="16"/>
      <color theme="0" tint="-0.34998626667073579"/>
      <name val="AngsanaUPC"/>
      <family val="1"/>
    </font>
    <font>
      <b/>
      <u val="double"/>
      <sz val="16"/>
      <color rgb="FFFF0000"/>
      <name val="AngsanaUPC"/>
      <family val="1"/>
    </font>
    <font>
      <u val="double"/>
      <sz val="16"/>
      <color rgb="FFFF0000"/>
      <name val="AngsanaUPC"/>
      <family val="1"/>
    </font>
    <font>
      <sz val="13"/>
      <color theme="1"/>
      <name val="AngsanaUPC"/>
      <family val="1"/>
    </font>
    <font>
      <sz val="12"/>
      <color theme="1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164" fontId="7" fillId="0" borderId="0" applyFont="0" applyFill="0" applyBorder="0" applyAlignment="0" applyProtection="0"/>
    <xf numFmtId="0" fontId="7" fillId="0" borderId="0"/>
  </cellStyleXfs>
  <cellXfs count="267">
    <xf numFmtId="0" fontId="0" fillId="0" borderId="0" xfId="0"/>
    <xf numFmtId="0" fontId="2" fillId="0" borderId="0" xfId="0" applyFont="1" applyAlignment="1">
      <alignment vertical="center" wrapText="1"/>
    </xf>
    <xf numFmtId="4" fontId="1" fillId="0" borderId="5" xfId="1" applyNumberFormat="1" applyFont="1" applyBorder="1" applyAlignment="1">
      <alignment horizontal="left" vertical="center" wrapText="1"/>
    </xf>
    <xf numFmtId="4" fontId="1" fillId="0" borderId="5" xfId="1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7" fontId="1" fillId="0" borderId="2" xfId="2" applyNumberFormat="1" applyFont="1" applyBorder="1" applyAlignment="1">
      <alignment horizontal="center" vertical="center" wrapText="1" shrinkToFi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4" fontId="1" fillId="2" borderId="3" xfId="1" applyNumberFormat="1" applyFont="1" applyFill="1" applyBorder="1" applyAlignment="1">
      <alignment horizontal="left" vertical="center" wrapText="1"/>
    </xf>
    <xf numFmtId="4" fontId="1" fillId="2" borderId="5" xfId="1" applyNumberFormat="1" applyFont="1" applyFill="1" applyBorder="1" applyAlignment="1">
      <alignment horizontal="left" vertical="center" wrapText="1"/>
    </xf>
    <xf numFmtId="4" fontId="1" fillId="2" borderId="5" xfId="1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4" fontId="1" fillId="2" borderId="2" xfId="1" applyNumberFormat="1" applyFont="1" applyFill="1" applyBorder="1" applyAlignment="1">
      <alignment horizontal="left" vertical="center" wrapText="1"/>
    </xf>
    <xf numFmtId="4" fontId="1" fillId="2" borderId="2" xfId="1" applyNumberFormat="1" applyFont="1" applyFill="1" applyBorder="1" applyAlignment="1">
      <alignment horizontal="center" vertical="center" wrapText="1"/>
    </xf>
    <xf numFmtId="4" fontId="1" fillId="0" borderId="2" xfId="1" applyNumberFormat="1" applyFont="1" applyBorder="1" applyAlignment="1">
      <alignment horizontal="left" vertical="center"/>
    </xf>
    <xf numFmtId="4" fontId="1" fillId="0" borderId="2" xfId="1" applyNumberFormat="1" applyFont="1" applyBorder="1" applyAlignment="1">
      <alignment horizontal="left" vertical="center" wrapText="1"/>
    </xf>
    <xf numFmtId="4" fontId="1" fillId="0" borderId="2" xfId="1" applyNumberFormat="1" applyFont="1" applyBorder="1" applyAlignment="1">
      <alignment horizontal="center" vertical="center" wrapText="1"/>
    </xf>
    <xf numFmtId="0" fontId="1" fillId="0" borderId="2" xfId="2" applyFont="1" applyBorder="1" applyAlignment="1">
      <alignment vertical="center" wrapText="1" shrinkToFit="1"/>
    </xf>
    <xf numFmtId="14" fontId="1" fillId="0" borderId="2" xfId="2" applyNumberFormat="1" applyFont="1" applyBorder="1" applyAlignment="1">
      <alignment horizontal="center" vertical="center" wrapText="1" shrinkToFit="1"/>
    </xf>
    <xf numFmtId="0" fontId="1" fillId="0" borderId="2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center" vertical="center" wrapText="1"/>
    </xf>
    <xf numFmtId="4" fontId="1" fillId="2" borderId="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" fillId="0" borderId="9" xfId="0" applyFont="1" applyBorder="1" applyAlignment="1">
      <alignment vertical="center"/>
    </xf>
    <xf numFmtId="164" fontId="2" fillId="0" borderId="11" xfId="3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0" xfId="3" quotePrefix="1" applyFont="1" applyBorder="1" applyAlignment="1">
      <alignment vertical="center"/>
    </xf>
    <xf numFmtId="164" fontId="2" fillId="0" borderId="0" xfId="3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3" applyFont="1" applyBorder="1" applyAlignment="1">
      <alignment vertical="center"/>
    </xf>
    <xf numFmtId="164" fontId="2" fillId="0" borderId="14" xfId="3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5" fontId="2" fillId="0" borderId="0" xfId="0" quotePrefix="1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4" fontId="1" fillId="2" borderId="4" xfId="1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" fontId="1" fillId="2" borderId="14" xfId="1" applyNumberFormat="1" applyFont="1" applyFill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4" fontId="1" fillId="2" borderId="20" xfId="1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4" fontId="1" fillId="2" borderId="1" xfId="1" applyNumberFormat="1" applyFont="1" applyFill="1" applyBorder="1" applyAlignment="1">
      <alignment horizontal="center" vertical="center" wrapText="1"/>
    </xf>
    <xf numFmtId="4" fontId="1" fillId="0" borderId="1" xfId="1" applyNumberFormat="1" applyFont="1" applyBorder="1" applyAlignment="1">
      <alignment horizontal="center" vertical="center" wrapText="1"/>
    </xf>
    <xf numFmtId="4" fontId="1" fillId="2" borderId="1" xfId="1" applyNumberFormat="1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4" fontId="1" fillId="3" borderId="2" xfId="1" applyNumberFormat="1" applyFont="1" applyFill="1" applyBorder="1" applyAlignment="1">
      <alignment horizontal="center" vertical="center" wrapText="1"/>
    </xf>
    <xf numFmtId="4" fontId="1" fillId="3" borderId="20" xfId="1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70" fontId="1" fillId="2" borderId="2" xfId="1" applyNumberFormat="1" applyFont="1" applyFill="1" applyBorder="1" applyAlignment="1">
      <alignment horizontal="center" vertical="center"/>
    </xf>
    <xf numFmtId="170" fontId="1" fillId="0" borderId="2" xfId="1" applyNumberFormat="1" applyFont="1" applyBorder="1" applyAlignment="1">
      <alignment horizontal="center" vertical="center"/>
    </xf>
    <xf numFmtId="170" fontId="1" fillId="0" borderId="2" xfId="1" quotePrefix="1" applyNumberFormat="1" applyFont="1" applyBorder="1" applyAlignment="1">
      <alignment horizontal="center" vertical="center"/>
    </xf>
    <xf numFmtId="170" fontId="1" fillId="2" borderId="2" xfId="1" quotePrefix="1" applyNumberFormat="1" applyFont="1" applyFill="1" applyBorder="1" applyAlignment="1">
      <alignment horizontal="center" vertical="center"/>
    </xf>
    <xf numFmtId="170" fontId="1" fillId="2" borderId="5" xfId="1" quotePrefix="1" applyNumberFormat="1" applyFont="1" applyFill="1" applyBorder="1" applyAlignment="1">
      <alignment horizontal="center" vertical="center"/>
    </xf>
    <xf numFmtId="170" fontId="1" fillId="0" borderId="5" xfId="1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2" fillId="0" borderId="0" xfId="3" applyFont="1" applyFill="1" applyAlignment="1">
      <alignment horizontal="center" vertical="center"/>
    </xf>
    <xf numFmtId="164" fontId="2" fillId="0" borderId="2" xfId="3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2" xfId="1" quotePrefix="1" applyFont="1" applyBorder="1" applyAlignment="1">
      <alignment horizontal="center" vertical="center"/>
    </xf>
    <xf numFmtId="0" fontId="1" fillId="2" borderId="2" xfId="1" quotePrefix="1" applyFont="1" applyFill="1" applyBorder="1" applyAlignment="1">
      <alignment horizontal="center" vertical="center"/>
    </xf>
    <xf numFmtId="0" fontId="1" fillId="2" borderId="5" xfId="1" quotePrefix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71" fontId="2" fillId="0" borderId="2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" fontId="1" fillId="0" borderId="4" xfId="1" applyNumberFormat="1" applyFont="1" applyBorder="1" applyAlignment="1">
      <alignment horizontal="center" vertical="center" wrapText="1"/>
    </xf>
    <xf numFmtId="4" fontId="1" fillId="2" borderId="4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71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8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2" xfId="0" quotePrefix="1" applyFont="1" applyBorder="1"/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4" fontId="1" fillId="0" borderId="3" xfId="1" applyNumberFormat="1" applyFont="1" applyBorder="1" applyAlignment="1">
      <alignment horizontal="left" vertical="center" wrapText="1"/>
    </xf>
    <xf numFmtId="168" fontId="1" fillId="0" borderId="5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6" borderId="0" xfId="0" applyNumberFormat="1" applyFont="1" applyFill="1" applyAlignment="1">
      <alignment horizontal="center" vertical="center" wrapText="1"/>
    </xf>
    <xf numFmtId="164" fontId="2" fillId="0" borderId="2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64" fontId="2" fillId="7" borderId="2" xfId="3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4" fontId="2" fillId="7" borderId="25" xfId="3" applyFont="1" applyFill="1" applyBorder="1" applyAlignment="1">
      <alignment horizontal="center" vertical="center"/>
    </xf>
    <xf numFmtId="164" fontId="2" fillId="0" borderId="25" xfId="3" applyFont="1" applyFill="1" applyBorder="1" applyAlignment="1">
      <alignment horizontal="center" vertical="center"/>
    </xf>
    <xf numFmtId="164" fontId="2" fillId="0" borderId="25" xfId="3" applyFont="1" applyBorder="1" applyAlignment="1">
      <alignment horizontal="center" vertical="center"/>
    </xf>
    <xf numFmtId="164" fontId="2" fillId="7" borderId="4" xfId="3" applyFont="1" applyFill="1" applyBorder="1" applyAlignment="1">
      <alignment horizontal="center" vertical="center" wrapText="1"/>
    </xf>
    <xf numFmtId="164" fontId="2" fillId="0" borderId="4" xfId="3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4" fontId="1" fillId="0" borderId="25" xfId="1" applyNumberFormat="1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 vertical="center" wrapText="1"/>
    </xf>
    <xf numFmtId="4" fontId="1" fillId="2" borderId="25" xfId="1" applyNumberFormat="1" applyFont="1" applyFill="1" applyBorder="1" applyAlignment="1">
      <alignment horizontal="center" vertical="center" wrapText="1"/>
    </xf>
    <xf numFmtId="4" fontId="1" fillId="0" borderId="25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72" fontId="13" fillId="0" borderId="0" xfId="3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172" fontId="2" fillId="0" borderId="0" xfId="3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20" xfId="3" applyFont="1" applyFill="1" applyBorder="1" applyAlignment="1">
      <alignment horizontal="center" vertical="center"/>
    </xf>
    <xf numFmtId="0" fontId="15" fillId="0" borderId="2" xfId="4" quotePrefix="1" applyFont="1" applyBorder="1" applyAlignment="1">
      <alignment horizontal="center" vertical="center"/>
    </xf>
    <xf numFmtId="0" fontId="16" fillId="0" borderId="2" xfId="4" quotePrefix="1" applyFont="1" applyBorder="1" applyAlignment="1">
      <alignment horizontal="left" vertical="center"/>
    </xf>
    <xf numFmtId="0" fontId="15" fillId="0" borderId="2" xfId="4" applyFont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5" fillId="0" borderId="4" xfId="4" quotePrefix="1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5" fillId="0" borderId="25" xfId="4" quotePrefix="1" applyFont="1" applyBorder="1" applyAlignment="1">
      <alignment horizontal="center" vertical="center"/>
    </xf>
    <xf numFmtId="0" fontId="15" fillId="0" borderId="25" xfId="4" applyFont="1" applyBorder="1" applyAlignment="1">
      <alignment horizontal="center" vertical="center"/>
    </xf>
    <xf numFmtId="0" fontId="15" fillId="0" borderId="5" xfId="4" quotePrefix="1" applyFont="1" applyBorder="1" applyAlignment="1">
      <alignment horizontal="center" vertical="center"/>
    </xf>
    <xf numFmtId="0" fontId="16" fillId="0" borderId="5" xfId="4" quotePrefix="1" applyFont="1" applyBorder="1" applyAlignment="1">
      <alignment horizontal="left" vertical="center"/>
    </xf>
    <xf numFmtId="0" fontId="15" fillId="0" borderId="5" xfId="4" applyFont="1" applyBorder="1" applyAlignment="1">
      <alignment horizontal="center" vertical="center"/>
    </xf>
    <xf numFmtId="0" fontId="15" fillId="0" borderId="28" xfId="4" applyFont="1" applyBorder="1" applyAlignment="1">
      <alignment horizontal="center" vertical="center"/>
    </xf>
    <xf numFmtId="0" fontId="15" fillId="0" borderId="14" xfId="4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5" fillId="0" borderId="27" xfId="4" quotePrefix="1" applyFont="1" applyBorder="1" applyAlignment="1">
      <alignment horizontal="center" vertical="center"/>
    </xf>
    <xf numFmtId="0" fontId="16" fillId="0" borderId="27" xfId="4" quotePrefix="1" applyFont="1" applyBorder="1" applyAlignment="1">
      <alignment horizontal="left" vertical="center"/>
    </xf>
    <xf numFmtId="0" fontId="15" fillId="0" borderId="27" xfId="4" applyFont="1" applyBorder="1" applyAlignment="1">
      <alignment horizontal="center" vertical="center"/>
    </xf>
    <xf numFmtId="0" fontId="15" fillId="0" borderId="29" xfId="4" applyFont="1" applyBorder="1" applyAlignment="1">
      <alignment horizontal="center" vertical="center"/>
    </xf>
    <xf numFmtId="0" fontId="15" fillId="0" borderId="30" xfId="4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5" fillId="0" borderId="31" xfId="4" quotePrefix="1" applyFont="1" applyBorder="1" applyAlignment="1">
      <alignment horizontal="center" vertical="center"/>
    </xf>
    <xf numFmtId="0" fontId="16" fillId="0" borderId="31" xfId="4" quotePrefix="1" applyFont="1" applyBorder="1" applyAlignment="1">
      <alignment horizontal="left" vertical="center"/>
    </xf>
    <xf numFmtId="0" fontId="15" fillId="0" borderId="31" xfId="4" applyFont="1" applyBorder="1" applyAlignment="1">
      <alignment horizontal="center" vertical="center"/>
    </xf>
    <xf numFmtId="0" fontId="15" fillId="0" borderId="32" xfId="4" applyFont="1" applyBorder="1" applyAlignment="1">
      <alignment horizontal="center" vertical="center"/>
    </xf>
    <xf numFmtId="0" fontId="15" fillId="0" borderId="33" xfId="4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172" fontId="2" fillId="0" borderId="0" xfId="3" applyNumberFormat="1" applyFont="1" applyFill="1" applyBorder="1" applyAlignment="1">
      <alignment vertical="center"/>
    </xf>
    <xf numFmtId="0" fontId="15" fillId="0" borderId="0" xfId="4" quotePrefix="1" applyFont="1" applyAlignment="1">
      <alignment horizontal="center" vertical="center"/>
    </xf>
    <xf numFmtId="0" fontId="16" fillId="0" borderId="0" xfId="4" quotePrefix="1" applyFont="1" applyAlignment="1">
      <alignment horizontal="left" vertical="center"/>
    </xf>
    <xf numFmtId="0" fontId="15" fillId="0" borderId="0" xfId="4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2" fillId="0" borderId="0" xfId="3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3" fontId="2" fillId="0" borderId="0" xfId="0" applyNumberFormat="1" applyFont="1" applyAlignment="1">
      <alignment horizontal="left" vertical="center"/>
    </xf>
    <xf numFmtId="3" fontId="2" fillId="0" borderId="1" xfId="3" applyNumberFormat="1" applyFont="1" applyBorder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20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2" fillId="0" borderId="34" xfId="0" applyFont="1" applyBorder="1" applyAlignment="1">
      <alignment vertical="center"/>
    </xf>
    <xf numFmtId="169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4" fontId="19" fillId="0" borderId="2" xfId="3" applyFont="1" applyFill="1" applyBorder="1" applyAlignment="1">
      <alignment horizontal="center" vertical="center"/>
    </xf>
    <xf numFmtId="164" fontId="20" fillId="7" borderId="2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4" fontId="2" fillId="7" borderId="3" xfId="3" applyFont="1" applyFill="1" applyBorder="1" applyAlignment="1">
      <alignment horizontal="center" vertical="center"/>
    </xf>
    <xf numFmtId="164" fontId="19" fillId="7" borderId="3" xfId="3" applyFont="1" applyFill="1" applyBorder="1" applyAlignment="1">
      <alignment horizontal="center" vertical="center" wrapText="1"/>
    </xf>
    <xf numFmtId="164" fontId="2" fillId="0" borderId="3" xfId="3" applyFont="1" applyFill="1" applyBorder="1" applyAlignment="1">
      <alignment horizontal="center" vertical="center"/>
    </xf>
    <xf numFmtId="164" fontId="2" fillId="0" borderId="3" xfId="3" applyFont="1" applyBorder="1" applyAlignment="1">
      <alignment horizontal="center" vertical="center"/>
    </xf>
    <xf numFmtId="164" fontId="2" fillId="7" borderId="25" xfId="3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2" fillId="7" borderId="2" xfId="3" applyFont="1" applyFill="1" applyBorder="1" applyAlignment="1">
      <alignment horizontal="center" vertical="center"/>
    </xf>
    <xf numFmtId="164" fontId="2" fillId="7" borderId="3" xfId="3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5" fillId="0" borderId="35" xfId="4" quotePrefix="1" applyFont="1" applyBorder="1" applyAlignment="1">
      <alignment horizontal="center" vertical="center"/>
    </xf>
    <xf numFmtId="0" fontId="15" fillId="0" borderId="33" xfId="4" quotePrefix="1" applyFont="1" applyBorder="1" applyAlignment="1">
      <alignment horizontal="center" vertical="center"/>
    </xf>
    <xf numFmtId="0" fontId="15" fillId="0" borderId="3" xfId="4" quotePrefix="1" applyFont="1" applyBorder="1" applyAlignment="1">
      <alignment horizontal="center" vertical="center"/>
    </xf>
    <xf numFmtId="0" fontId="15" fillId="0" borderId="4" xfId="4" quotePrefix="1" applyFont="1" applyBorder="1" applyAlignment="1">
      <alignment horizontal="center" vertical="center"/>
    </xf>
    <xf numFmtId="0" fontId="15" fillId="0" borderId="31" xfId="4" quotePrefix="1" applyFont="1" applyBorder="1" applyAlignment="1">
      <alignment horizontal="center" vertical="center" wrapText="1"/>
    </xf>
    <xf numFmtId="0" fontId="15" fillId="0" borderId="27" xfId="4" quotePrefix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4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</cellXfs>
  <cellStyles count="5">
    <cellStyle name="Comma" xfId="3" builtinId="3"/>
    <cellStyle name="Normal" xfId="0" builtinId="0"/>
    <cellStyle name="Normal 2 2" xfId="1" xr:uid="{14947BB5-9253-4DA8-9FF2-3C4C7C5C77E5}"/>
    <cellStyle name="Normal 3 2" xfId="2" xr:uid="{6C8E6D9E-F2B0-46B4-ABCC-A15DCE142D70}"/>
    <cellStyle name="Normal 4" xfId="4" xr:uid="{346D1B11-6DBB-4013-967D-C8F0B544E179}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104776</xdr:rowOff>
    </xdr:from>
    <xdr:to>
      <xdr:col>1</xdr:col>
      <xdr:colOff>35299</xdr:colOff>
      <xdr:row>1</xdr:row>
      <xdr:rowOff>186018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A330C-6202-4C6E-A0D8-7F6A45275BA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104776"/>
          <a:ext cx="559174" cy="309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76200</xdr:rowOff>
    </xdr:from>
    <xdr:to>
      <xdr:col>0</xdr:col>
      <xdr:colOff>1190409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2ED28-EE73-41F9-9547-890AD0233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6200"/>
          <a:ext cx="1009434" cy="523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145679</xdr:colOff>
      <xdr:row>7</xdr:row>
      <xdr:rowOff>89648</xdr:rowOff>
    </xdr:from>
    <xdr:to>
      <xdr:col>28</xdr:col>
      <xdr:colOff>268942</xdr:colOff>
      <xdr:row>11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E4714A1-8A4A-4302-BCB0-A909BC3CB29B}"/>
            </a:ext>
          </a:extLst>
        </xdr:cNvPr>
        <xdr:cNvSpPr/>
      </xdr:nvSpPr>
      <xdr:spPr>
        <a:xfrm>
          <a:off x="15614279" y="1689848"/>
          <a:ext cx="951938" cy="111162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ysClr val="windowText" lastClr="000000"/>
              </a:solidFill>
            </a:rPr>
            <a:t>ติดรูปถ่าย</a:t>
          </a:r>
        </a:p>
        <a:p>
          <a:pPr algn="ctr"/>
          <a:r>
            <a:rPr lang="th-TH" sz="1100">
              <a:solidFill>
                <a:sysClr val="windowText" lastClr="000000"/>
              </a:solidFill>
            </a:rPr>
            <a:t>1</a:t>
          </a:r>
          <a:r>
            <a:rPr lang="en-US" sz="1100">
              <a:solidFill>
                <a:sysClr val="windowText" lastClr="000000"/>
              </a:solidFill>
            </a:rPr>
            <a:t>"</a:t>
          </a:r>
          <a:r>
            <a:rPr lang="en-US" sz="1100" baseline="0">
              <a:solidFill>
                <a:sysClr val="windowText" lastClr="000000"/>
              </a:solidFill>
            </a:rPr>
            <a:t> x 1"</a:t>
          </a:r>
          <a:endParaRPr lang="th-TH" sz="1100"/>
        </a:p>
      </xdr:txBody>
    </xdr:sp>
    <xdr:clientData/>
  </xdr:twoCellAnchor>
  <xdr:twoCellAnchor editAs="oneCell">
    <xdr:from>
      <xdr:col>0</xdr:col>
      <xdr:colOff>104775</xdr:colOff>
      <xdr:row>0</xdr:row>
      <xdr:rowOff>76200</xdr:rowOff>
    </xdr:from>
    <xdr:to>
      <xdr:col>3</xdr:col>
      <xdr:colOff>193937</xdr:colOff>
      <xdr:row>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F660B5-8863-4BD9-AB23-1CD008B5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6200"/>
          <a:ext cx="803537" cy="485775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29</xdr:row>
      <xdr:rowOff>66675</xdr:rowOff>
    </xdr:from>
    <xdr:to>
      <xdr:col>21</xdr:col>
      <xdr:colOff>209550</xdr:colOff>
      <xdr:row>39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7F5896-558B-1E33-6231-CFB5D081284B}"/>
            </a:ext>
          </a:extLst>
        </xdr:cNvPr>
        <xdr:cNvSpPr txBox="1"/>
      </xdr:nvSpPr>
      <xdr:spPr>
        <a:xfrm>
          <a:off x="1552575" y="7553325"/>
          <a:ext cx="4457700" cy="2733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/>
            <a:t>สำเนาบัตรประชาชน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ENOVO/AppData/Local/Packages/Microsoft.MicrosoftEdge_8wekyb3d8bbwe/TempState/Downloads/2850100_3%20Salary%20March%202020%20(1).xls" TargetMode="External"/><Relationship Id="rId1" Type="http://schemas.openxmlformats.org/officeDocument/2006/relationships/externalLinkPath" Target="/Users/LENOVO/AppData/Local/Packages/Microsoft.MicrosoftEdge_8wekyb3d8bbwe/TempState/Downloads/2850100_3%20Salary%20March%202020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istrator/Documents/DJETH/&#51064;&#49324;/2016&#45380;/Salary%20Plan%2020160301_&#54869;&#51221;.xlsx" TargetMode="External"/><Relationship Id="rId1" Type="http://schemas.openxmlformats.org/officeDocument/2006/relationships/externalLinkPath" Target="/Users/Administrator/Documents/DJETH/&#51064;&#49324;/2016&#45380;/Salary%20Plan%2020160301_&#54869;&#51221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istrator/AppData/Local/Microsoft/Windows/Temporary%20Internet%20Files/Content.Outlook/DYEJJL0Q/Salary%20Plan%2020160208.xlsx" TargetMode="External"/><Relationship Id="rId1" Type="http://schemas.openxmlformats.org/officeDocument/2006/relationships/externalLinkPath" Target="/Users/Administrator/AppData/Local/Microsoft/Windows/Temporary%20Internet%20Files/Content.Outlook/DYEJJL0Q/Salary%20Plan%2020160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ow"/>
      <sheetName val="1.Holiday"/>
      <sheetName val="Detail"/>
      <sheetName val="2. Master"/>
      <sheetName val="3_1. OT"/>
      <sheetName val="3_2. Pivot"/>
      <sheetName val="5. Bank"/>
      <sheetName val="6. PND1"/>
      <sheetName val="7. ใบหน้า_สมทบ"/>
      <sheetName val="7-1. ใบแนบ_สบทบ"/>
      <sheetName val="Remarks"/>
      <sheetName val="Report"/>
      <sheetName val="Leave"/>
      <sheetName val="Advance"/>
      <sheetName val="Sheet1"/>
      <sheetName val="Diligence"/>
      <sheetName val="SSO"/>
      <sheetName val="4. Slip"/>
    </sheetNames>
    <sheetDataSet>
      <sheetData sheetId="0" refreshError="1"/>
      <sheetData sheetId="1">
        <row r="1">
          <cell r="B1" t="str">
            <v>Date</v>
          </cell>
          <cell r="C1" t="str">
            <v>Holiday</v>
          </cell>
        </row>
        <row r="2">
          <cell r="B2">
            <v>43831</v>
          </cell>
          <cell r="C2" t="str">
            <v>New Year</v>
          </cell>
        </row>
        <row r="3">
          <cell r="B3">
            <v>43832</v>
          </cell>
          <cell r="C3" t="str">
            <v>New Year</v>
          </cell>
        </row>
        <row r="4">
          <cell r="B4">
            <v>43833</v>
          </cell>
          <cell r="C4" t="str">
            <v>New Year</v>
          </cell>
        </row>
        <row r="5">
          <cell r="B5">
            <v>43834</v>
          </cell>
          <cell r="C5" t="str">
            <v>Special  Shutdown  Day</v>
          </cell>
        </row>
        <row r="6">
          <cell r="B6">
            <v>43869</v>
          </cell>
          <cell r="C6" t="str">
            <v>Makha Bucha Day</v>
          </cell>
        </row>
        <row r="7">
          <cell r="B7">
            <v>43934</v>
          </cell>
          <cell r="C7" t="str">
            <v>Songkran Festival Day</v>
          </cell>
        </row>
        <row r="8">
          <cell r="B8">
            <v>43935</v>
          </cell>
          <cell r="C8" t="str">
            <v>Songkran Festival Day</v>
          </cell>
        </row>
        <row r="9">
          <cell r="B9">
            <v>43936</v>
          </cell>
          <cell r="C9" t="str">
            <v>Songkran Festival Day</v>
          </cell>
        </row>
        <row r="10">
          <cell r="B10">
            <v>43937</v>
          </cell>
          <cell r="C10" t="str">
            <v>Special  Shutdown  Day</v>
          </cell>
        </row>
        <row r="11">
          <cell r="B11">
            <v>43938</v>
          </cell>
          <cell r="C11" t="str">
            <v>Special  Shutdown  Day</v>
          </cell>
        </row>
        <row r="12">
          <cell r="B12">
            <v>43939</v>
          </cell>
          <cell r="C12" t="str">
            <v>Special  Shutdown  Day</v>
          </cell>
        </row>
        <row r="13">
          <cell r="B13">
            <v>43586</v>
          </cell>
          <cell r="C13" t="str">
            <v>National Labour Day</v>
          </cell>
        </row>
        <row r="14">
          <cell r="B14">
            <v>43957</v>
          </cell>
          <cell r="C14" t="str">
            <v>Visakhabucha Day</v>
          </cell>
        </row>
        <row r="15">
          <cell r="B15">
            <v>44018</v>
          </cell>
          <cell r="C15" t="str">
            <v>Asarahabucha Day</v>
          </cell>
        </row>
        <row r="16">
          <cell r="B16">
            <v>44055</v>
          </cell>
          <cell r="C16" t="str">
            <v>The Queen'sBirthday</v>
          </cell>
        </row>
        <row r="17">
          <cell r="B17">
            <v>44170</v>
          </cell>
          <cell r="C17" t="str">
            <v>H.M.The King's Birthday</v>
          </cell>
        </row>
        <row r="18">
          <cell r="B18">
            <v>43829</v>
          </cell>
          <cell r="C18" t="str">
            <v>Exchange Holiday</v>
          </cell>
        </row>
        <row r="19">
          <cell r="B19">
            <v>43830</v>
          </cell>
          <cell r="C19" t="str">
            <v>New Year</v>
          </cell>
        </row>
      </sheetData>
      <sheetData sheetId="2" refreshError="1"/>
      <sheetData sheetId="3"/>
      <sheetData sheetId="4">
        <row r="2">
          <cell r="I2">
            <v>43882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2015"/>
      <sheetName val="base salary Plan 2016"/>
      <sheetName val="Team(案)"/>
      <sheetName val="Base Rule"/>
      <sheetName val="Home"/>
      <sheetName val="Position"/>
      <sheetName val="Reponsibility"/>
      <sheetName val="Technical_Skill"/>
      <sheetName val="Language"/>
      <sheetName val="Other"/>
      <sheetName val="Mobile"/>
      <sheetName val="Gasolin"/>
      <sheetName val="Full Working"/>
      <sheetName val="Food"/>
      <sheetName val="인상등급"/>
      <sheetName val="Sheet1"/>
    </sheetNames>
    <sheetDataSet>
      <sheetData sheetId="0">
        <row r="2">
          <cell r="A2" t="str">
            <v>ID Card</v>
          </cell>
        </row>
      </sheetData>
      <sheetData sheetId="1">
        <row r="4">
          <cell r="A4" t="str">
            <v>DJ15070006</v>
          </cell>
        </row>
      </sheetData>
      <sheetData sheetId="2">
        <row r="2">
          <cell r="A2" t="str">
            <v>ID Card</v>
          </cell>
        </row>
      </sheetData>
      <sheetData sheetId="3">
        <row r="2">
          <cell r="E2">
            <v>1.2E-2</v>
          </cell>
        </row>
      </sheetData>
      <sheetData sheetId="4">
        <row r="10">
          <cell r="C10" t="str">
            <v>Grade</v>
          </cell>
        </row>
      </sheetData>
      <sheetData sheetId="5"/>
      <sheetData sheetId="6">
        <row r="4">
          <cell r="B4" t="str">
            <v>직책수당</v>
          </cell>
        </row>
        <row r="12">
          <cell r="B12" t="str">
            <v>Sub Leader</v>
          </cell>
        </row>
        <row r="13">
          <cell r="B13" t="str">
            <v>Leader</v>
          </cell>
        </row>
        <row r="14">
          <cell r="B14" t="str">
            <v>Supervisor</v>
          </cell>
        </row>
        <row r="15">
          <cell r="B15" t="str">
            <v>Part Lrader</v>
          </cell>
        </row>
        <row r="16">
          <cell r="B16" t="str">
            <v>Team Leader</v>
          </cell>
        </row>
        <row r="17">
          <cell r="B17" t="str">
            <v>Factory Head</v>
          </cell>
        </row>
      </sheetData>
      <sheetData sheetId="7">
        <row r="4">
          <cell r="B4" t="str">
            <v>- 기술자 양성</v>
          </cell>
        </row>
        <row r="12">
          <cell r="C12" t="str">
            <v>Mold</v>
          </cell>
        </row>
        <row r="13">
          <cell r="C13" t="str">
            <v>Tech</v>
          </cell>
        </row>
        <row r="14">
          <cell r="C14" t="str">
            <v>PM</v>
          </cell>
        </row>
        <row r="15">
          <cell r="C15" t="str">
            <v>ENG</v>
          </cell>
        </row>
        <row r="16">
          <cell r="C16" t="str">
            <v>QC</v>
          </cell>
        </row>
      </sheetData>
      <sheetData sheetId="8">
        <row r="4">
          <cell r="B4" t="str">
            <v xml:space="preserve">- 현지인으로 외국어 능력 보유자 </v>
          </cell>
        </row>
        <row r="20">
          <cell r="K20" t="str">
            <v>K1</v>
          </cell>
        </row>
        <row r="21">
          <cell r="K21" t="str">
            <v>K2</v>
          </cell>
        </row>
        <row r="22">
          <cell r="K22" t="str">
            <v>K3</v>
          </cell>
        </row>
        <row r="23">
          <cell r="K23" t="str">
            <v>K4</v>
          </cell>
        </row>
        <row r="24">
          <cell r="K24" t="str">
            <v>K5</v>
          </cell>
        </row>
        <row r="25">
          <cell r="K25" t="str">
            <v>K6</v>
          </cell>
        </row>
        <row r="26">
          <cell r="K26" t="str">
            <v>N1</v>
          </cell>
        </row>
        <row r="27">
          <cell r="K27" t="str">
            <v>N2</v>
          </cell>
        </row>
        <row r="28">
          <cell r="K28" t="str">
            <v>N3</v>
          </cell>
        </row>
        <row r="29">
          <cell r="K29" t="str">
            <v>N4</v>
          </cell>
        </row>
        <row r="30">
          <cell r="K30" t="str">
            <v>N5</v>
          </cell>
        </row>
        <row r="31">
          <cell r="K31" t="str">
            <v>N6</v>
          </cell>
        </row>
      </sheetData>
      <sheetData sheetId="9">
        <row r="4">
          <cell r="B4" t="str">
            <v>- 기타 수당</v>
          </cell>
        </row>
      </sheetData>
      <sheetData sheetId="10"/>
      <sheetData sheetId="11"/>
      <sheetData sheetId="12"/>
      <sheetData sheetId="13"/>
      <sheetData sheetId="14">
        <row r="2">
          <cell r="B2" t="str">
            <v>구분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2015"/>
      <sheetName val="Sheet1"/>
    </sheetNames>
    <sheetDataSet>
      <sheetData sheetId="0"/>
      <sheetData sheetId="1">
        <row r="4">
          <cell r="B4" t="str">
            <v>A</v>
          </cell>
        </row>
        <row r="5">
          <cell r="B5" t="str">
            <v>B</v>
          </cell>
        </row>
        <row r="6">
          <cell r="B6" t="str">
            <v>C</v>
          </cell>
        </row>
        <row r="7">
          <cell r="B7" t="str">
            <v>D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C6F6-7993-4286-AF61-062A0E8BB18E}">
  <dimension ref="A1:S155"/>
  <sheetViews>
    <sheetView zoomScaleNormal="100" workbookViewId="0">
      <pane xSplit="6" ySplit="3" topLeftCell="G16" activePane="bottomRight" state="frozen"/>
      <selection pane="topRight" activeCell="F1" sqref="F1"/>
      <selection pane="bottomLeft" activeCell="A5" sqref="A5"/>
      <selection pane="bottomRight" activeCell="R25" sqref="R25"/>
    </sheetView>
  </sheetViews>
  <sheetFormatPr defaultColWidth="17" defaultRowHeight="23.25"/>
  <cols>
    <col min="1" max="1" width="5.85546875" style="119" customWidth="1"/>
    <col min="2" max="2" width="9.42578125" style="97" customWidth="1"/>
    <col min="3" max="3" width="25.7109375" style="137" customWidth="1"/>
    <col min="4" max="4" width="11.7109375" style="97" customWidth="1"/>
    <col min="5" max="5" width="10.85546875" style="97" customWidth="1"/>
    <col min="6" max="6" width="13" style="153" customWidth="1"/>
    <col min="7" max="7" width="11.42578125" style="154" customWidth="1"/>
    <col min="8" max="8" width="6.42578125" style="154" customWidth="1"/>
    <col min="9" max="9" width="6.42578125" style="97" customWidth="1"/>
    <col min="10" max="10" width="9.28515625" style="97" customWidth="1"/>
    <col min="11" max="11" width="19.42578125" style="138" customWidth="1"/>
    <col min="12" max="12" width="17" style="139"/>
    <col min="13" max="13" width="17" style="97"/>
    <col min="14" max="14" width="12.85546875" style="97" customWidth="1"/>
    <col min="15" max="15" width="7.28515625" style="97" customWidth="1"/>
    <col min="16" max="16" width="18.42578125" style="137" customWidth="1"/>
    <col min="17" max="17" width="10" style="97" customWidth="1"/>
    <col min="18" max="18" width="41.140625" style="97" customWidth="1"/>
    <col min="19" max="16384" width="17" style="1"/>
  </cols>
  <sheetData>
    <row r="1" spans="1:19" ht="26.25" customHeight="1">
      <c r="D1" s="155">
        <f ca="1">NOW()</f>
        <v>46289.374922222225</v>
      </c>
      <c r="E1" s="95"/>
      <c r="F1" s="95"/>
      <c r="G1" s="97"/>
      <c r="H1" s="97"/>
    </row>
    <row r="2" spans="1:19" ht="26.25" customHeight="1">
      <c r="A2" s="120" t="s">
        <v>0</v>
      </c>
      <c r="B2" s="120"/>
      <c r="C2" s="120"/>
      <c r="D2" s="140"/>
      <c r="E2" s="141"/>
      <c r="F2" s="142"/>
      <c r="G2" s="120"/>
      <c r="H2" s="120"/>
      <c r="I2" s="120"/>
      <c r="J2" s="120"/>
      <c r="K2" s="120"/>
      <c r="L2" s="120"/>
      <c r="M2" s="120"/>
      <c r="N2" s="120"/>
      <c r="O2" s="120"/>
      <c r="P2" s="143"/>
      <c r="Q2" s="120"/>
      <c r="R2" s="120"/>
    </row>
    <row r="3" spans="1:19" ht="27" customHeight="1">
      <c r="A3" s="96" t="s">
        <v>1</v>
      </c>
      <c r="B3" s="96" t="s">
        <v>2</v>
      </c>
      <c r="C3" s="96" t="s">
        <v>3</v>
      </c>
      <c r="D3" s="96" t="s">
        <v>4</v>
      </c>
      <c r="E3" s="96" t="s">
        <v>411</v>
      </c>
      <c r="F3" s="144" t="s">
        <v>5</v>
      </c>
      <c r="G3" s="96" t="s">
        <v>8</v>
      </c>
      <c r="H3" s="96" t="s">
        <v>9</v>
      </c>
      <c r="I3" s="96" t="s">
        <v>10</v>
      </c>
      <c r="J3" s="96" t="s">
        <v>11</v>
      </c>
      <c r="K3" s="129" t="s">
        <v>12</v>
      </c>
      <c r="L3" s="145" t="s">
        <v>13</v>
      </c>
      <c r="M3" s="96" t="s">
        <v>14</v>
      </c>
      <c r="N3" s="96" t="s">
        <v>15</v>
      </c>
      <c r="O3" s="243" t="s">
        <v>16</v>
      </c>
      <c r="P3" s="244"/>
      <c r="Q3" s="96" t="s">
        <v>17</v>
      </c>
      <c r="R3" s="96" t="s">
        <v>18</v>
      </c>
    </row>
    <row r="4" spans="1:19" s="119" customFormat="1" ht="46.5">
      <c r="A4" s="121">
        <v>1</v>
      </c>
      <c r="B4" s="90">
        <v>210993</v>
      </c>
      <c r="C4" s="146" t="s">
        <v>19</v>
      </c>
      <c r="D4" s="2" t="s">
        <v>20</v>
      </c>
      <c r="E4" s="3" t="s">
        <v>21</v>
      </c>
      <c r="F4" s="4">
        <v>46041</v>
      </c>
      <c r="G4" s="6">
        <v>33026</v>
      </c>
      <c r="H4" s="144" t="str">
        <f t="shared" ref="H4:H42" ca="1" si="0">YEAR(TODAY())-YEAR(G4)&amp;"Y"</f>
        <v>36Y</v>
      </c>
      <c r="I4" s="121" t="s">
        <v>22</v>
      </c>
      <c r="J4" s="121" t="s">
        <v>23</v>
      </c>
      <c r="K4" s="128">
        <v>22971009777</v>
      </c>
      <c r="L4" s="147" t="s">
        <v>24</v>
      </c>
      <c r="M4" s="121"/>
      <c r="N4" s="148"/>
      <c r="O4" s="148" t="s">
        <v>25</v>
      </c>
      <c r="P4" s="149"/>
      <c r="Q4" s="121"/>
      <c r="R4" s="150"/>
      <c r="S4" s="1"/>
    </row>
    <row r="5" spans="1:19" s="11" customFormat="1">
      <c r="A5" s="96">
        <v>2</v>
      </c>
      <c r="B5" s="101">
        <v>120189</v>
      </c>
      <c r="C5" s="12" t="s">
        <v>26</v>
      </c>
      <c r="D5" s="13" t="s">
        <v>27</v>
      </c>
      <c r="E5" s="14" t="s">
        <v>21</v>
      </c>
      <c r="F5" s="4">
        <v>43400</v>
      </c>
      <c r="G5" s="6">
        <v>25962</v>
      </c>
      <c r="H5" s="7" t="str">
        <f t="shared" ca="1" si="0"/>
        <v>55Y</v>
      </c>
      <c r="I5" s="8" t="s">
        <v>28</v>
      </c>
      <c r="J5" s="8" t="s">
        <v>29</v>
      </c>
      <c r="K5" s="15">
        <v>3490400109281</v>
      </c>
      <c r="L5" s="16">
        <v>984513766</v>
      </c>
      <c r="M5" s="5">
        <v>4360151024</v>
      </c>
      <c r="N5" s="9" t="s">
        <v>30</v>
      </c>
      <c r="O5" s="9" t="s">
        <v>31</v>
      </c>
      <c r="P5" s="10" t="s">
        <v>32</v>
      </c>
      <c r="Q5" s="5"/>
      <c r="R5" s="17"/>
      <c r="S5" s="1"/>
    </row>
    <row r="6" spans="1:19" s="11" customFormat="1">
      <c r="A6" s="121">
        <v>3</v>
      </c>
      <c r="B6" s="101">
        <v>120260</v>
      </c>
      <c r="C6" s="12" t="s">
        <v>33</v>
      </c>
      <c r="D6" s="13" t="s">
        <v>27</v>
      </c>
      <c r="E6" s="14" t="s">
        <v>21</v>
      </c>
      <c r="F6" s="4">
        <v>43715</v>
      </c>
      <c r="G6" s="6">
        <v>27577</v>
      </c>
      <c r="H6" s="7" t="str">
        <f t="shared" ca="1" si="0"/>
        <v>51Y</v>
      </c>
      <c r="I6" s="8" t="s">
        <v>28</v>
      </c>
      <c r="J6" s="8" t="s">
        <v>29</v>
      </c>
      <c r="K6" s="15">
        <v>3331200116111</v>
      </c>
      <c r="L6" s="16" t="s">
        <v>34</v>
      </c>
      <c r="M6" s="5">
        <v>5822862620</v>
      </c>
      <c r="N6" s="9" t="s">
        <v>30</v>
      </c>
      <c r="O6" s="9" t="s">
        <v>31</v>
      </c>
      <c r="P6" s="10" t="s">
        <v>35</v>
      </c>
      <c r="Q6" s="5"/>
      <c r="R6" s="17"/>
      <c r="S6" s="1"/>
    </row>
    <row r="7" spans="1:19" s="119" customFormat="1" ht="47.25" customHeight="1">
      <c r="A7" s="96">
        <v>4</v>
      </c>
      <c r="B7" s="102">
        <v>121014</v>
      </c>
      <c r="C7" s="146" t="s">
        <v>36</v>
      </c>
      <c r="D7" s="2" t="s">
        <v>27</v>
      </c>
      <c r="E7" s="3" t="s">
        <v>21</v>
      </c>
      <c r="F7" s="4">
        <v>46048</v>
      </c>
      <c r="G7" s="6">
        <v>33124</v>
      </c>
      <c r="H7" s="144" t="str">
        <f t="shared" ca="1" si="0"/>
        <v>36Y</v>
      </c>
      <c r="I7" s="121" t="s">
        <v>28</v>
      </c>
      <c r="J7" s="121" t="s">
        <v>29</v>
      </c>
      <c r="K7" s="129">
        <v>1320600144106</v>
      </c>
      <c r="L7" s="151">
        <v>902394930</v>
      </c>
      <c r="M7" s="96">
        <v>4232189399</v>
      </c>
      <c r="N7" s="148" t="s">
        <v>30</v>
      </c>
      <c r="O7" s="148" t="s">
        <v>31</v>
      </c>
      <c r="P7" s="149" t="s">
        <v>37</v>
      </c>
      <c r="Q7" s="96" t="s">
        <v>38</v>
      </c>
      <c r="R7" s="152"/>
      <c r="S7" s="1"/>
    </row>
    <row r="8" spans="1:19">
      <c r="A8" s="121">
        <v>5</v>
      </c>
      <c r="B8" s="101">
        <v>120697</v>
      </c>
      <c r="C8" s="18" t="s">
        <v>39</v>
      </c>
      <c r="D8" s="13" t="s">
        <v>27</v>
      </c>
      <c r="E8" s="14" t="s">
        <v>21</v>
      </c>
      <c r="F8" s="4">
        <v>45125</v>
      </c>
      <c r="G8" s="6">
        <v>30931</v>
      </c>
      <c r="H8" s="7" t="str">
        <f t="shared" ca="1" si="0"/>
        <v>42Y</v>
      </c>
      <c r="I8" s="8" t="s">
        <v>28</v>
      </c>
      <c r="J8" s="8" t="s">
        <v>29</v>
      </c>
      <c r="K8" s="15">
        <v>1490500010930</v>
      </c>
      <c r="L8" s="16">
        <v>65538932</v>
      </c>
      <c r="M8" s="5">
        <v>4361656289</v>
      </c>
      <c r="N8" s="9" t="s">
        <v>30</v>
      </c>
      <c r="O8" s="9" t="s">
        <v>31</v>
      </c>
      <c r="P8" s="10" t="s">
        <v>32</v>
      </c>
      <c r="Q8" s="5"/>
      <c r="R8" s="17"/>
    </row>
    <row r="9" spans="1:19" ht="46.5">
      <c r="A9" s="96">
        <v>6</v>
      </c>
      <c r="B9" s="90">
        <v>121068</v>
      </c>
      <c r="C9" s="21" t="s">
        <v>40</v>
      </c>
      <c r="D9" s="21" t="s">
        <v>27</v>
      </c>
      <c r="E9" s="22" t="s">
        <v>21</v>
      </c>
      <c r="F9" s="4">
        <v>46147</v>
      </c>
      <c r="G9" s="6">
        <v>29435</v>
      </c>
      <c r="H9" s="144" t="str">
        <f t="shared" ca="1" si="0"/>
        <v>46Y</v>
      </c>
      <c r="I9" s="121" t="s">
        <v>28</v>
      </c>
      <c r="J9" s="121" t="s">
        <v>23</v>
      </c>
      <c r="K9" s="129">
        <v>6682190002302</v>
      </c>
      <c r="L9" s="151" t="s">
        <v>41</v>
      </c>
      <c r="M9" s="96">
        <v>4310115515</v>
      </c>
      <c r="N9" s="148" t="s">
        <v>30</v>
      </c>
      <c r="O9" s="148" t="s">
        <v>25</v>
      </c>
      <c r="P9" s="149"/>
      <c r="Q9" s="96"/>
      <c r="R9" s="152"/>
    </row>
    <row r="10" spans="1:19" ht="46.5">
      <c r="A10" s="121">
        <v>7</v>
      </c>
      <c r="B10" s="101">
        <v>120150</v>
      </c>
      <c r="C10" s="18" t="s">
        <v>42</v>
      </c>
      <c r="D10" s="18" t="s">
        <v>43</v>
      </c>
      <c r="E10" s="19" t="s">
        <v>21</v>
      </c>
      <c r="F10" s="4">
        <v>43049</v>
      </c>
      <c r="G10" s="6">
        <v>34375</v>
      </c>
      <c r="H10" s="7" t="str">
        <f t="shared" ca="1" si="0"/>
        <v>32Y</v>
      </c>
      <c r="I10" s="8" t="s">
        <v>28</v>
      </c>
      <c r="J10" s="8" t="s">
        <v>29</v>
      </c>
      <c r="K10" s="15">
        <v>1301300193137</v>
      </c>
      <c r="L10" s="16">
        <v>659580418</v>
      </c>
      <c r="M10" s="5">
        <v>4085925091</v>
      </c>
      <c r="N10" s="9" t="s">
        <v>30</v>
      </c>
      <c r="O10" s="9" t="s">
        <v>31</v>
      </c>
      <c r="P10" s="10" t="s">
        <v>44</v>
      </c>
      <c r="Q10" s="5" t="s">
        <v>38</v>
      </c>
      <c r="R10" s="17"/>
    </row>
    <row r="11" spans="1:19" ht="46.5">
      <c r="A11" s="96">
        <v>8</v>
      </c>
      <c r="B11" s="101">
        <v>120748</v>
      </c>
      <c r="C11" s="18" t="s">
        <v>45</v>
      </c>
      <c r="D11" s="18" t="s">
        <v>27</v>
      </c>
      <c r="E11" s="19" t="s">
        <v>46</v>
      </c>
      <c r="F11" s="4">
        <v>45308</v>
      </c>
      <c r="G11" s="6">
        <v>27829</v>
      </c>
      <c r="H11" s="7" t="str">
        <f t="shared" ca="1" si="0"/>
        <v>50Y</v>
      </c>
      <c r="I11" s="8" t="s">
        <v>28</v>
      </c>
      <c r="J11" s="8" t="s">
        <v>29</v>
      </c>
      <c r="K11" s="15">
        <v>3670300095081</v>
      </c>
      <c r="L11" s="16">
        <v>927820197</v>
      </c>
      <c r="M11" s="5">
        <v>9912684376</v>
      </c>
      <c r="N11" s="9" t="s">
        <v>30</v>
      </c>
      <c r="O11" s="9" t="s">
        <v>31</v>
      </c>
      <c r="P11" s="10" t="s">
        <v>44</v>
      </c>
      <c r="Q11" s="5"/>
      <c r="R11" s="17"/>
    </row>
    <row r="12" spans="1:19">
      <c r="A12" s="121">
        <v>9</v>
      </c>
      <c r="B12" s="101">
        <v>120901</v>
      </c>
      <c r="C12" s="18" t="s">
        <v>47</v>
      </c>
      <c r="D12" s="18" t="s">
        <v>27</v>
      </c>
      <c r="E12" s="19" t="s">
        <v>46</v>
      </c>
      <c r="F12" s="4">
        <v>45600</v>
      </c>
      <c r="G12" s="6">
        <v>27049</v>
      </c>
      <c r="H12" s="7" t="str">
        <f t="shared" ca="1" si="0"/>
        <v>52Y</v>
      </c>
      <c r="I12" s="8" t="s">
        <v>28</v>
      </c>
      <c r="J12" s="8" t="s">
        <v>29</v>
      </c>
      <c r="K12" s="15">
        <v>3670300095065</v>
      </c>
      <c r="L12" s="16" t="s">
        <v>48</v>
      </c>
      <c r="M12" s="5">
        <v>4261582417</v>
      </c>
      <c r="N12" s="9" t="s">
        <v>30</v>
      </c>
      <c r="O12" s="9" t="s">
        <v>31</v>
      </c>
      <c r="P12" s="10" t="s">
        <v>49</v>
      </c>
      <c r="Q12" s="5"/>
      <c r="R12" s="17"/>
    </row>
    <row r="13" spans="1:19" ht="46.5">
      <c r="A13" s="96">
        <v>10</v>
      </c>
      <c r="B13" s="101">
        <v>110749</v>
      </c>
      <c r="C13" s="18" t="s">
        <v>50</v>
      </c>
      <c r="D13" s="18" t="s">
        <v>51</v>
      </c>
      <c r="E13" s="14" t="s">
        <v>46</v>
      </c>
      <c r="F13" s="4">
        <v>45308</v>
      </c>
      <c r="G13" s="6">
        <v>26824</v>
      </c>
      <c r="H13" s="7" t="str">
        <f t="shared" ca="1" si="0"/>
        <v>53Y</v>
      </c>
      <c r="I13" s="8" t="s">
        <v>22</v>
      </c>
      <c r="J13" s="8" t="s">
        <v>29</v>
      </c>
      <c r="K13" s="15">
        <v>5670700052475</v>
      </c>
      <c r="L13" s="16">
        <v>610082631</v>
      </c>
      <c r="M13" s="5">
        <v>4310380796</v>
      </c>
      <c r="N13" s="9" t="s">
        <v>30</v>
      </c>
      <c r="O13" s="9" t="s">
        <v>31</v>
      </c>
      <c r="P13" s="10" t="s">
        <v>44</v>
      </c>
      <c r="Q13" s="5"/>
      <c r="R13" s="17"/>
    </row>
    <row r="14" spans="1:19">
      <c r="A14" s="121">
        <v>11</v>
      </c>
      <c r="B14" s="101">
        <v>110709</v>
      </c>
      <c r="C14" s="20" t="s">
        <v>52</v>
      </c>
      <c r="D14" s="18" t="s">
        <v>51</v>
      </c>
      <c r="E14" s="14" t="s">
        <v>46</v>
      </c>
      <c r="F14" s="4">
        <v>45769</v>
      </c>
      <c r="G14" s="6">
        <v>27736</v>
      </c>
      <c r="H14" s="7" t="str">
        <f t="shared" ca="1" si="0"/>
        <v>51Y</v>
      </c>
      <c r="I14" s="8" t="s">
        <v>22</v>
      </c>
      <c r="J14" s="8" t="s">
        <v>29</v>
      </c>
      <c r="K14" s="15">
        <v>8570985009293</v>
      </c>
      <c r="L14" s="16">
        <v>850309821</v>
      </c>
      <c r="M14" s="5">
        <v>4341691005</v>
      </c>
      <c r="N14" s="9" t="s">
        <v>30</v>
      </c>
      <c r="O14" s="9" t="s">
        <v>31</v>
      </c>
      <c r="P14" s="10" t="s">
        <v>49</v>
      </c>
      <c r="Q14" s="5"/>
      <c r="R14" s="17"/>
    </row>
    <row r="15" spans="1:19">
      <c r="A15" s="96">
        <v>12</v>
      </c>
      <c r="B15" s="101">
        <v>111019</v>
      </c>
      <c r="C15" s="18" t="s">
        <v>53</v>
      </c>
      <c r="D15" s="18" t="s">
        <v>51</v>
      </c>
      <c r="E15" s="19" t="s">
        <v>46</v>
      </c>
      <c r="F15" s="4">
        <v>46086</v>
      </c>
      <c r="G15" s="6">
        <v>28347</v>
      </c>
      <c r="H15" s="7" t="str">
        <f t="shared" ca="1" si="0"/>
        <v>49Y</v>
      </c>
      <c r="I15" s="8" t="s">
        <v>22</v>
      </c>
      <c r="J15" s="8" t="s">
        <v>29</v>
      </c>
      <c r="K15" s="15">
        <v>5130400019698</v>
      </c>
      <c r="L15" s="16">
        <v>631791876</v>
      </c>
      <c r="M15" s="5">
        <v>4231816498</v>
      </c>
      <c r="N15" s="9" t="s">
        <v>30</v>
      </c>
      <c r="O15" s="9" t="s">
        <v>31</v>
      </c>
      <c r="P15" s="10" t="s">
        <v>54</v>
      </c>
      <c r="Q15" s="5"/>
      <c r="R15" s="17"/>
    </row>
    <row r="16" spans="1:19" ht="46.5">
      <c r="A16" s="121">
        <v>13</v>
      </c>
      <c r="B16" s="101">
        <v>120362</v>
      </c>
      <c r="C16" s="18" t="s">
        <v>55</v>
      </c>
      <c r="D16" s="18" t="s">
        <v>43</v>
      </c>
      <c r="E16" s="19" t="s">
        <v>46</v>
      </c>
      <c r="F16" s="4">
        <v>44183</v>
      </c>
      <c r="G16" s="6">
        <v>30475</v>
      </c>
      <c r="H16" s="7" t="str">
        <f t="shared" ca="1" si="0"/>
        <v>43Y</v>
      </c>
      <c r="I16" s="8" t="s">
        <v>28</v>
      </c>
      <c r="J16" s="8" t="s">
        <v>29</v>
      </c>
      <c r="K16" s="15">
        <v>3200400128350</v>
      </c>
      <c r="L16" s="16">
        <v>986326755</v>
      </c>
      <c r="M16" s="5">
        <v>4190450389</v>
      </c>
      <c r="N16" s="9" t="s">
        <v>30</v>
      </c>
      <c r="O16" s="9" t="s">
        <v>31</v>
      </c>
      <c r="P16" s="10" t="s">
        <v>37</v>
      </c>
      <c r="Q16" s="5"/>
      <c r="R16" s="17"/>
    </row>
    <row r="17" spans="1:19">
      <c r="A17" s="96">
        <v>14</v>
      </c>
      <c r="B17" s="101">
        <v>121300</v>
      </c>
      <c r="C17" s="18" t="s">
        <v>56</v>
      </c>
      <c r="D17" s="18" t="s">
        <v>27</v>
      </c>
      <c r="E17" s="19" t="s">
        <v>57</v>
      </c>
      <c r="F17" s="4">
        <v>46241</v>
      </c>
      <c r="G17" s="6">
        <v>27071</v>
      </c>
      <c r="H17" s="7" t="str">
        <f t="shared" ca="1" si="0"/>
        <v>52Y</v>
      </c>
      <c r="I17" s="8" t="s">
        <v>28</v>
      </c>
      <c r="J17" s="8" t="s">
        <v>29</v>
      </c>
      <c r="K17" s="15">
        <v>3770100574368</v>
      </c>
      <c r="L17" s="16">
        <v>656208279</v>
      </c>
      <c r="M17" s="131"/>
      <c r="N17" s="9"/>
      <c r="O17" s="9" t="s">
        <v>31</v>
      </c>
      <c r="P17" s="10"/>
      <c r="Q17" s="5"/>
      <c r="R17" s="17"/>
    </row>
    <row r="18" spans="1:19">
      <c r="A18" s="121">
        <v>15</v>
      </c>
      <c r="B18" s="101">
        <v>121099</v>
      </c>
      <c r="C18" s="18" t="s">
        <v>58</v>
      </c>
      <c r="D18" s="18" t="s">
        <v>27</v>
      </c>
      <c r="E18" s="19" t="s">
        <v>57</v>
      </c>
      <c r="F18" s="4">
        <v>46211</v>
      </c>
      <c r="G18" s="6">
        <v>31704</v>
      </c>
      <c r="H18" s="7" t="str">
        <f t="shared" ca="1" si="0"/>
        <v>40Y</v>
      </c>
      <c r="I18" s="8" t="s">
        <v>28</v>
      </c>
      <c r="J18" s="8" t="s">
        <v>29</v>
      </c>
      <c r="K18" s="15">
        <v>1101400827164</v>
      </c>
      <c r="L18" s="16">
        <v>910543428</v>
      </c>
      <c r="M18" s="5">
        <v>4262229347</v>
      </c>
      <c r="N18" s="9" t="s">
        <v>30</v>
      </c>
      <c r="O18" s="9" t="s">
        <v>31</v>
      </c>
      <c r="P18" s="10" t="s">
        <v>88</v>
      </c>
      <c r="Q18" s="5"/>
      <c r="R18" s="17" t="s">
        <v>59</v>
      </c>
    </row>
    <row r="19" spans="1:19">
      <c r="A19" s="96">
        <v>16</v>
      </c>
      <c r="B19" s="101">
        <v>121301</v>
      </c>
      <c r="C19" s="18" t="s">
        <v>60</v>
      </c>
      <c r="D19" s="18" t="s">
        <v>27</v>
      </c>
      <c r="E19" s="19" t="s">
        <v>57</v>
      </c>
      <c r="F19" s="4">
        <v>46244</v>
      </c>
      <c r="G19" s="6">
        <v>27999</v>
      </c>
      <c r="H19" s="7" t="str">
        <f t="shared" ca="1" si="0"/>
        <v>50Y</v>
      </c>
      <c r="I19" s="8" t="s">
        <v>28</v>
      </c>
      <c r="J19" s="8" t="s">
        <v>29</v>
      </c>
      <c r="K19" s="15">
        <v>3341200076917</v>
      </c>
      <c r="L19" s="16">
        <v>652790119</v>
      </c>
      <c r="M19" s="5">
        <v>6534237662</v>
      </c>
      <c r="N19" s="9" t="s">
        <v>30</v>
      </c>
      <c r="O19" s="9" t="s">
        <v>31</v>
      </c>
      <c r="P19" s="10" t="s">
        <v>32</v>
      </c>
      <c r="Q19" s="5"/>
      <c r="R19" s="17"/>
    </row>
    <row r="20" spans="1:19" ht="46.5">
      <c r="A20" s="121">
        <v>17</v>
      </c>
      <c r="B20" s="101">
        <v>110360</v>
      </c>
      <c r="C20" s="18" t="s">
        <v>61</v>
      </c>
      <c r="D20" s="18" t="s">
        <v>51</v>
      </c>
      <c r="E20" s="19" t="s">
        <v>57</v>
      </c>
      <c r="F20" s="4">
        <v>44187</v>
      </c>
      <c r="G20" s="6">
        <v>25198</v>
      </c>
      <c r="H20" s="7" t="str">
        <f t="shared" ca="1" si="0"/>
        <v>58Y</v>
      </c>
      <c r="I20" s="8" t="s">
        <v>22</v>
      </c>
      <c r="J20" s="8" t="s">
        <v>29</v>
      </c>
      <c r="K20" s="15">
        <v>3440900718791</v>
      </c>
      <c r="L20" s="16">
        <v>924057458</v>
      </c>
      <c r="M20" s="5">
        <v>9462604258</v>
      </c>
      <c r="N20" s="9" t="s">
        <v>30</v>
      </c>
      <c r="O20" s="9" t="s">
        <v>62</v>
      </c>
      <c r="P20" s="10"/>
      <c r="Q20" s="5"/>
      <c r="R20" s="17"/>
    </row>
    <row r="21" spans="1:19">
      <c r="A21" s="96">
        <v>18</v>
      </c>
      <c r="B21" s="101">
        <v>110738</v>
      </c>
      <c r="C21" s="20" t="s">
        <v>63</v>
      </c>
      <c r="D21" s="18" t="s">
        <v>51</v>
      </c>
      <c r="E21" s="19" t="s">
        <v>57</v>
      </c>
      <c r="F21" s="4">
        <v>45264</v>
      </c>
      <c r="G21" s="6">
        <v>28347</v>
      </c>
      <c r="H21" s="7" t="str">
        <f t="shared" ca="1" si="0"/>
        <v>49Y</v>
      </c>
      <c r="I21" s="8" t="s">
        <v>22</v>
      </c>
      <c r="J21" s="8" t="s">
        <v>29</v>
      </c>
      <c r="K21" s="15">
        <v>5130400019698</v>
      </c>
      <c r="L21" s="16">
        <v>956614270</v>
      </c>
      <c r="M21" s="5">
        <v>4311728280</v>
      </c>
      <c r="N21" s="9" t="s">
        <v>30</v>
      </c>
      <c r="O21" s="9" t="s">
        <v>31</v>
      </c>
      <c r="P21" s="10"/>
      <c r="Q21" s="5"/>
      <c r="R21" s="17"/>
    </row>
    <row r="22" spans="1:19" ht="46.5">
      <c r="A22" s="121">
        <v>19</v>
      </c>
      <c r="B22" s="101">
        <v>110932</v>
      </c>
      <c r="C22" s="18" t="s">
        <v>64</v>
      </c>
      <c r="D22" s="18" t="s">
        <v>51</v>
      </c>
      <c r="E22" s="19" t="s">
        <v>57</v>
      </c>
      <c r="F22" s="4">
        <v>45791</v>
      </c>
      <c r="G22" s="6">
        <v>23480</v>
      </c>
      <c r="H22" s="7" t="str">
        <f t="shared" ca="1" si="0"/>
        <v>62Y</v>
      </c>
      <c r="I22" s="8" t="s">
        <v>22</v>
      </c>
      <c r="J22" s="8" t="s">
        <v>29</v>
      </c>
      <c r="K22" s="15">
        <v>3320300231328</v>
      </c>
      <c r="L22" s="16">
        <v>879812549</v>
      </c>
      <c r="M22" s="5">
        <v>4292077435</v>
      </c>
      <c r="N22" s="9" t="s">
        <v>30</v>
      </c>
      <c r="O22" s="9" t="s">
        <v>62</v>
      </c>
      <c r="P22" s="10"/>
      <c r="Q22" s="5"/>
      <c r="R22" s="17"/>
    </row>
    <row r="23" spans="1:19" ht="46.5">
      <c r="A23" s="96">
        <v>20</v>
      </c>
      <c r="B23" s="101">
        <v>120977</v>
      </c>
      <c r="C23" s="18" t="s">
        <v>401</v>
      </c>
      <c r="D23" s="18" t="s">
        <v>43</v>
      </c>
      <c r="E23" s="19" t="s">
        <v>57</v>
      </c>
      <c r="F23" s="4">
        <v>45966</v>
      </c>
      <c r="G23" s="6">
        <v>28454</v>
      </c>
      <c r="H23" s="7" t="str">
        <f t="shared" ca="1" si="0"/>
        <v>49Y</v>
      </c>
      <c r="I23" s="8" t="s">
        <v>28</v>
      </c>
      <c r="J23" s="8" t="s">
        <v>29</v>
      </c>
      <c r="K23" s="15">
        <v>3400500709379</v>
      </c>
      <c r="L23" s="16">
        <v>927397293</v>
      </c>
      <c r="M23" s="5">
        <v>4221851327</v>
      </c>
      <c r="N23" s="9" t="s">
        <v>30</v>
      </c>
      <c r="O23" s="9" t="s">
        <v>31</v>
      </c>
      <c r="P23" s="10"/>
      <c r="Q23" s="5"/>
      <c r="R23" s="17"/>
    </row>
    <row r="24" spans="1:19">
      <c r="A24" s="121">
        <v>21</v>
      </c>
      <c r="B24" s="101">
        <v>110669</v>
      </c>
      <c r="C24" s="18" t="s">
        <v>400</v>
      </c>
      <c r="D24" s="18" t="s">
        <v>65</v>
      </c>
      <c r="E24" s="19" t="s">
        <v>66</v>
      </c>
      <c r="F24" s="4">
        <v>45063</v>
      </c>
      <c r="G24" s="6">
        <v>27602</v>
      </c>
      <c r="H24" s="7" t="str">
        <f t="shared" ca="1" si="0"/>
        <v>51Y</v>
      </c>
      <c r="I24" s="8" t="s">
        <v>22</v>
      </c>
      <c r="J24" s="8" t="s">
        <v>29</v>
      </c>
      <c r="K24" s="15">
        <v>3251200803194</v>
      </c>
      <c r="L24" s="16">
        <v>983739741</v>
      </c>
      <c r="M24" s="5">
        <v>8322592503</v>
      </c>
      <c r="N24" s="9" t="s">
        <v>30</v>
      </c>
      <c r="O24" s="9" t="s">
        <v>31</v>
      </c>
      <c r="P24" s="10" t="s">
        <v>54</v>
      </c>
      <c r="Q24" s="5"/>
      <c r="R24" s="17"/>
    </row>
    <row r="25" spans="1:19" ht="46.5">
      <c r="A25" s="96">
        <v>22</v>
      </c>
      <c r="B25" s="101">
        <v>120603</v>
      </c>
      <c r="C25" s="18" t="s">
        <v>67</v>
      </c>
      <c r="D25" s="18" t="s">
        <v>27</v>
      </c>
      <c r="E25" s="19" t="s">
        <v>66</v>
      </c>
      <c r="F25" s="4">
        <v>44944</v>
      </c>
      <c r="G25" s="6">
        <v>22439</v>
      </c>
      <c r="H25" s="7" t="str">
        <f t="shared" ca="1" si="0"/>
        <v>65Y</v>
      </c>
      <c r="I25" s="8" t="s">
        <v>28</v>
      </c>
      <c r="J25" s="8" t="s">
        <v>29</v>
      </c>
      <c r="K25" s="15">
        <v>3401500489159</v>
      </c>
      <c r="L25" s="16">
        <v>621861941</v>
      </c>
      <c r="M25" s="5">
        <v>4096271176</v>
      </c>
      <c r="N25" s="9" t="s">
        <v>30</v>
      </c>
      <c r="O25" s="9" t="s">
        <v>62</v>
      </c>
      <c r="P25" s="10"/>
      <c r="Q25" s="5"/>
      <c r="R25" s="17"/>
    </row>
    <row r="26" spans="1:19" ht="46.5">
      <c r="A26" s="121">
        <v>23</v>
      </c>
      <c r="B26" s="101">
        <v>120918</v>
      </c>
      <c r="C26" s="18" t="s">
        <v>68</v>
      </c>
      <c r="D26" s="18" t="s">
        <v>27</v>
      </c>
      <c r="E26" s="19" t="s">
        <v>66</v>
      </c>
      <c r="F26" s="4">
        <v>45720</v>
      </c>
      <c r="G26" s="6">
        <v>29990</v>
      </c>
      <c r="H26" s="7" t="str">
        <f t="shared" ca="1" si="0"/>
        <v>44Y</v>
      </c>
      <c r="I26" s="8" t="s">
        <v>28</v>
      </c>
      <c r="J26" s="8" t="s">
        <v>29</v>
      </c>
      <c r="K26" s="15">
        <v>3360800029803</v>
      </c>
      <c r="L26" s="16" t="s">
        <v>69</v>
      </c>
      <c r="M26" s="5">
        <v>4054016926</v>
      </c>
      <c r="N26" s="9" t="s">
        <v>30</v>
      </c>
      <c r="O26" s="9" t="s">
        <v>31</v>
      </c>
      <c r="P26" s="10" t="s">
        <v>37</v>
      </c>
      <c r="Q26" s="5"/>
      <c r="R26" s="17"/>
    </row>
    <row r="27" spans="1:19" ht="46.5">
      <c r="A27" s="96">
        <v>24</v>
      </c>
      <c r="B27" s="101">
        <v>110367</v>
      </c>
      <c r="C27" s="18" t="s">
        <v>70</v>
      </c>
      <c r="D27" s="18" t="s">
        <v>51</v>
      </c>
      <c r="E27" s="19" t="s">
        <v>66</v>
      </c>
      <c r="F27" s="4">
        <v>44179</v>
      </c>
      <c r="G27" s="6">
        <v>23526</v>
      </c>
      <c r="H27" s="7" t="str">
        <f t="shared" ca="1" si="0"/>
        <v>62Y</v>
      </c>
      <c r="I27" s="8" t="s">
        <v>22</v>
      </c>
      <c r="J27" s="8" t="s">
        <v>29</v>
      </c>
      <c r="K27" s="15">
        <v>3401000572367</v>
      </c>
      <c r="L27" s="16">
        <v>928654891</v>
      </c>
      <c r="M27" s="5">
        <v>8702314321</v>
      </c>
      <c r="N27" s="9" t="s">
        <v>30</v>
      </c>
      <c r="O27" s="9" t="s">
        <v>62</v>
      </c>
      <c r="P27" s="10"/>
      <c r="Q27" s="5"/>
      <c r="R27" s="17"/>
    </row>
    <row r="28" spans="1:19" ht="46.5">
      <c r="A28" s="121">
        <v>25</v>
      </c>
      <c r="B28" s="101">
        <v>120630</v>
      </c>
      <c r="C28" s="18" t="s">
        <v>71</v>
      </c>
      <c r="D28" s="18" t="s">
        <v>43</v>
      </c>
      <c r="E28" s="19" t="s">
        <v>66</v>
      </c>
      <c r="F28" s="4">
        <v>44992</v>
      </c>
      <c r="G28" s="6">
        <v>32258</v>
      </c>
      <c r="H28" s="7" t="str">
        <f t="shared" ca="1" si="0"/>
        <v>38Y</v>
      </c>
      <c r="I28" s="8" t="s">
        <v>28</v>
      </c>
      <c r="J28" s="8" t="s">
        <v>29</v>
      </c>
      <c r="K28" s="15">
        <v>1400500100785</v>
      </c>
      <c r="L28" s="16">
        <v>625413997</v>
      </c>
      <c r="M28" s="5">
        <v>8322900837</v>
      </c>
      <c r="N28" s="9" t="s">
        <v>30</v>
      </c>
      <c r="O28" s="9" t="s">
        <v>31</v>
      </c>
      <c r="P28" s="10" t="s">
        <v>37</v>
      </c>
      <c r="Q28" s="5"/>
      <c r="R28" s="17"/>
    </row>
    <row r="29" spans="1:19">
      <c r="A29" s="96">
        <v>26</v>
      </c>
      <c r="B29" s="101">
        <v>110947</v>
      </c>
      <c r="C29" s="18" t="s">
        <v>72</v>
      </c>
      <c r="D29" s="18" t="s">
        <v>65</v>
      </c>
      <c r="E29" s="19" t="s">
        <v>73</v>
      </c>
      <c r="F29" s="4">
        <v>45876</v>
      </c>
      <c r="G29" s="6">
        <v>34245</v>
      </c>
      <c r="H29" s="7" t="str">
        <f t="shared" ca="1" si="0"/>
        <v>33Y</v>
      </c>
      <c r="I29" s="8" t="s">
        <v>22</v>
      </c>
      <c r="J29" s="8" t="s">
        <v>29</v>
      </c>
      <c r="K29" s="15">
        <v>1801300204771</v>
      </c>
      <c r="L29" s="16">
        <v>805195657</v>
      </c>
      <c r="M29" s="5">
        <v>8242249468</v>
      </c>
      <c r="N29" s="9" t="s">
        <v>30</v>
      </c>
      <c r="O29" s="9" t="s">
        <v>31</v>
      </c>
      <c r="P29" s="10"/>
      <c r="Q29" s="5"/>
      <c r="R29" s="17"/>
    </row>
    <row r="30" spans="1:19" ht="46.5">
      <c r="A30" s="121">
        <v>27</v>
      </c>
      <c r="B30" s="90">
        <v>220804</v>
      </c>
      <c r="C30" s="21" t="s">
        <v>74</v>
      </c>
      <c r="D30" s="21" t="s">
        <v>27</v>
      </c>
      <c r="E30" s="22" t="s">
        <v>73</v>
      </c>
      <c r="F30" s="4">
        <v>45420</v>
      </c>
      <c r="G30" s="6">
        <v>44211</v>
      </c>
      <c r="H30" s="144" t="str">
        <f t="shared" ca="1" si="0"/>
        <v>5Y</v>
      </c>
      <c r="I30" s="121" t="s">
        <v>28</v>
      </c>
      <c r="J30" s="121" t="s">
        <v>23</v>
      </c>
      <c r="K30" s="129">
        <v>10051622181</v>
      </c>
      <c r="L30" s="151">
        <v>615048360</v>
      </c>
      <c r="M30" s="96"/>
      <c r="N30" s="148"/>
      <c r="O30" s="148" t="s">
        <v>25</v>
      </c>
      <c r="P30" s="149"/>
      <c r="Q30" s="96"/>
      <c r="R30" s="152"/>
    </row>
    <row r="31" spans="1:19" ht="46.5">
      <c r="A31" s="96">
        <v>28</v>
      </c>
      <c r="B31" s="101">
        <v>120826</v>
      </c>
      <c r="C31" s="18" t="s">
        <v>75</v>
      </c>
      <c r="D31" s="18" t="s">
        <v>27</v>
      </c>
      <c r="E31" s="19" t="s">
        <v>73</v>
      </c>
      <c r="F31" s="4">
        <v>45460</v>
      </c>
      <c r="G31" s="6">
        <v>20821</v>
      </c>
      <c r="H31" s="7" t="str">
        <f t="shared" ca="1" si="0"/>
        <v>69Y</v>
      </c>
      <c r="I31" s="8" t="s">
        <v>28</v>
      </c>
      <c r="J31" s="8" t="s">
        <v>29</v>
      </c>
      <c r="K31" s="15">
        <v>3210600236229</v>
      </c>
      <c r="L31" s="16">
        <v>820793834</v>
      </c>
      <c r="M31" s="5">
        <v>8942637482</v>
      </c>
      <c r="N31" s="9" t="s">
        <v>30</v>
      </c>
      <c r="O31" s="9" t="s">
        <v>62</v>
      </c>
      <c r="P31" s="10"/>
      <c r="Q31" s="5"/>
      <c r="R31" s="17"/>
    </row>
    <row r="32" spans="1:19">
      <c r="A32" s="121">
        <v>29</v>
      </c>
      <c r="B32" s="101">
        <v>110883</v>
      </c>
      <c r="C32" s="23" t="s">
        <v>76</v>
      </c>
      <c r="D32" s="5" t="s">
        <v>65</v>
      </c>
      <c r="E32" s="8" t="s">
        <v>77</v>
      </c>
      <c r="F32" s="24">
        <v>45575</v>
      </c>
      <c r="G32" s="6">
        <v>30629</v>
      </c>
      <c r="H32" s="7" t="str">
        <f t="shared" ca="1" si="0"/>
        <v>43Y</v>
      </c>
      <c r="I32" s="8" t="s">
        <v>22</v>
      </c>
      <c r="J32" s="8" t="s">
        <v>29</v>
      </c>
      <c r="K32" s="15">
        <v>3470700095676</v>
      </c>
      <c r="L32" s="16">
        <v>808096073</v>
      </c>
      <c r="M32" s="5">
        <v>9912732373</v>
      </c>
      <c r="N32" s="9" t="s">
        <v>30</v>
      </c>
      <c r="O32" s="9" t="s">
        <v>31</v>
      </c>
      <c r="P32" s="10" t="s">
        <v>54</v>
      </c>
      <c r="Q32" s="5"/>
      <c r="R32" s="17" t="s">
        <v>78</v>
      </c>
      <c r="S32" s="11"/>
    </row>
    <row r="33" spans="1:19" ht="46.5">
      <c r="A33" s="96">
        <v>30</v>
      </c>
      <c r="B33" s="101">
        <v>121072</v>
      </c>
      <c r="C33" s="23" t="s">
        <v>79</v>
      </c>
      <c r="D33" s="5" t="s">
        <v>27</v>
      </c>
      <c r="E33" s="8" t="s">
        <v>77</v>
      </c>
      <c r="F33" s="24">
        <v>46133</v>
      </c>
      <c r="G33" s="6">
        <v>30833</v>
      </c>
      <c r="H33" s="7" t="str">
        <f t="shared" ca="1" si="0"/>
        <v>42Y</v>
      </c>
      <c r="I33" s="8" t="s">
        <v>28</v>
      </c>
      <c r="J33" s="8" t="s">
        <v>29</v>
      </c>
      <c r="K33" s="15">
        <v>1400900021599</v>
      </c>
      <c r="L33" s="16">
        <v>909624234</v>
      </c>
      <c r="M33" s="5">
        <v>4352348035</v>
      </c>
      <c r="N33" s="9" t="s">
        <v>30</v>
      </c>
      <c r="O33" s="9" t="s">
        <v>31</v>
      </c>
      <c r="P33" s="10" t="s">
        <v>32</v>
      </c>
      <c r="Q33" s="5" t="s">
        <v>80</v>
      </c>
      <c r="R33" s="17" t="s">
        <v>81</v>
      </c>
      <c r="S33" s="11"/>
    </row>
    <row r="34" spans="1:19" ht="46.5">
      <c r="A34" s="121">
        <v>31</v>
      </c>
      <c r="B34" s="101">
        <v>120450</v>
      </c>
      <c r="C34" s="23" t="s">
        <v>82</v>
      </c>
      <c r="D34" s="5" t="s">
        <v>27</v>
      </c>
      <c r="E34" s="5" t="s">
        <v>77</v>
      </c>
      <c r="F34" s="24">
        <v>44538</v>
      </c>
      <c r="G34" s="6">
        <v>29897</v>
      </c>
      <c r="H34" s="7" t="str">
        <f t="shared" ca="1" si="0"/>
        <v>45Y</v>
      </c>
      <c r="I34" s="8" t="s">
        <v>28</v>
      </c>
      <c r="J34" s="8" t="s">
        <v>29</v>
      </c>
      <c r="K34" s="15">
        <v>3360300135442</v>
      </c>
      <c r="L34" s="16">
        <v>926073549</v>
      </c>
      <c r="M34" s="5">
        <v>8942592349</v>
      </c>
      <c r="N34" s="9" t="s">
        <v>30</v>
      </c>
      <c r="O34" s="9" t="s">
        <v>31</v>
      </c>
      <c r="P34" s="10" t="s">
        <v>44</v>
      </c>
      <c r="Q34" s="5"/>
      <c r="R34" s="17" t="s">
        <v>83</v>
      </c>
      <c r="S34" s="11"/>
    </row>
    <row r="35" spans="1:19" ht="46.5">
      <c r="A35" s="96">
        <v>32</v>
      </c>
      <c r="B35" s="101">
        <v>121200</v>
      </c>
      <c r="C35" s="23" t="s">
        <v>84</v>
      </c>
      <c r="D35" s="5" t="s">
        <v>27</v>
      </c>
      <c r="E35" s="5" t="s">
        <v>77</v>
      </c>
      <c r="F35" s="24">
        <v>46206</v>
      </c>
      <c r="G35" s="6">
        <v>25784</v>
      </c>
      <c r="H35" s="7" t="str">
        <f t="shared" ca="1" si="0"/>
        <v>56Y</v>
      </c>
      <c r="I35" s="8" t="s">
        <v>28</v>
      </c>
      <c r="J35" s="8" t="s">
        <v>29</v>
      </c>
      <c r="K35" s="15">
        <v>3331200161191</v>
      </c>
      <c r="L35" s="16">
        <v>803384969</v>
      </c>
      <c r="M35" s="5">
        <v>9912553410</v>
      </c>
      <c r="N35" s="9" t="s">
        <v>30</v>
      </c>
      <c r="O35" s="9" t="s">
        <v>31</v>
      </c>
      <c r="P35" s="10" t="s">
        <v>44</v>
      </c>
      <c r="Q35" s="5"/>
      <c r="R35" s="17" t="s">
        <v>85</v>
      </c>
      <c r="S35" s="11"/>
    </row>
    <row r="36" spans="1:19">
      <c r="A36" s="121">
        <v>33</v>
      </c>
      <c r="B36" s="101">
        <v>120116</v>
      </c>
      <c r="C36" s="17" t="s">
        <v>86</v>
      </c>
      <c r="D36" s="5" t="s">
        <v>87</v>
      </c>
      <c r="E36" s="5" t="s">
        <v>77</v>
      </c>
      <c r="F36" s="24">
        <v>42913</v>
      </c>
      <c r="G36" s="6">
        <v>30938</v>
      </c>
      <c r="H36" s="7" t="str">
        <f t="shared" ca="1" si="0"/>
        <v>42Y</v>
      </c>
      <c r="I36" s="8" t="s">
        <v>28</v>
      </c>
      <c r="J36" s="8" t="s">
        <v>29</v>
      </c>
      <c r="K36" s="15">
        <v>1460300011720</v>
      </c>
      <c r="L36" s="16">
        <v>961389329</v>
      </c>
      <c r="M36" s="5">
        <v>4081831151</v>
      </c>
      <c r="N36" s="9" t="s">
        <v>30</v>
      </c>
      <c r="O36" s="9" t="s">
        <v>31</v>
      </c>
      <c r="P36" s="10" t="s">
        <v>88</v>
      </c>
      <c r="Q36" s="5" t="s">
        <v>80</v>
      </c>
      <c r="R36" s="17" t="s">
        <v>89</v>
      </c>
    </row>
    <row r="37" spans="1:19">
      <c r="A37" s="96">
        <v>34</v>
      </c>
      <c r="B37" s="101">
        <v>110320</v>
      </c>
      <c r="C37" s="18" t="s">
        <v>90</v>
      </c>
      <c r="D37" s="18" t="s">
        <v>20</v>
      </c>
      <c r="E37" s="19" t="s">
        <v>91</v>
      </c>
      <c r="F37" s="4">
        <v>43969</v>
      </c>
      <c r="G37" s="6">
        <v>24681</v>
      </c>
      <c r="H37" s="7" t="str">
        <f t="shared" ca="1" si="0"/>
        <v>59Y</v>
      </c>
      <c r="I37" s="8" t="s">
        <v>22</v>
      </c>
      <c r="J37" s="8" t="s">
        <v>29</v>
      </c>
      <c r="K37" s="15">
        <v>3620500603684</v>
      </c>
      <c r="L37" s="16">
        <v>982223051</v>
      </c>
      <c r="M37" s="5">
        <v>4270736396</v>
      </c>
      <c r="N37" s="9" t="s">
        <v>30</v>
      </c>
      <c r="O37" s="9" t="s">
        <v>31</v>
      </c>
      <c r="P37" s="10"/>
      <c r="Q37" s="5"/>
      <c r="R37" s="17"/>
    </row>
    <row r="38" spans="1:19">
      <c r="A38" s="121">
        <v>35</v>
      </c>
      <c r="B38" s="101">
        <v>121063</v>
      </c>
      <c r="C38" s="18" t="s">
        <v>410</v>
      </c>
      <c r="D38" s="18" t="s">
        <v>27</v>
      </c>
      <c r="E38" s="19" t="s">
        <v>91</v>
      </c>
      <c r="F38" s="4">
        <v>46113</v>
      </c>
      <c r="G38" s="6">
        <v>28914</v>
      </c>
      <c r="H38" s="7" t="str">
        <f t="shared" ca="1" si="0"/>
        <v>47Y</v>
      </c>
      <c r="I38" s="8" t="s">
        <v>28</v>
      </c>
      <c r="J38" s="8" t="s">
        <v>29</v>
      </c>
      <c r="K38" s="15">
        <v>3310101387948</v>
      </c>
      <c r="L38" s="16">
        <v>618730436</v>
      </c>
      <c r="M38" s="5">
        <v>4300926992</v>
      </c>
      <c r="N38" s="9" t="s">
        <v>30</v>
      </c>
      <c r="O38" s="9" t="s">
        <v>31</v>
      </c>
      <c r="P38" s="10"/>
      <c r="Q38" s="5"/>
      <c r="R38" s="17"/>
    </row>
    <row r="39" spans="1:19">
      <c r="A39" s="96">
        <v>36</v>
      </c>
      <c r="B39" s="101">
        <v>120162</v>
      </c>
      <c r="C39" s="18" t="s">
        <v>92</v>
      </c>
      <c r="D39" s="18" t="s">
        <v>27</v>
      </c>
      <c r="E39" s="19" t="s">
        <v>91</v>
      </c>
      <c r="F39" s="4">
        <v>43615</v>
      </c>
      <c r="G39" s="6">
        <v>26669</v>
      </c>
      <c r="H39" s="7" t="str">
        <f t="shared" ca="1" si="0"/>
        <v>53Y</v>
      </c>
      <c r="I39" s="8" t="s">
        <v>28</v>
      </c>
      <c r="J39" s="8" t="s">
        <v>29</v>
      </c>
      <c r="K39" s="15">
        <v>3410400065224</v>
      </c>
      <c r="L39" s="16">
        <v>625431676</v>
      </c>
      <c r="M39" s="5">
        <v>4150404409</v>
      </c>
      <c r="N39" s="9" t="s">
        <v>30</v>
      </c>
      <c r="O39" s="9" t="s">
        <v>31</v>
      </c>
      <c r="P39" s="10"/>
      <c r="Q39" s="5"/>
      <c r="R39" s="17"/>
    </row>
    <row r="40" spans="1:19">
      <c r="A40" s="121">
        <v>37</v>
      </c>
      <c r="B40" s="101">
        <v>120967</v>
      </c>
      <c r="C40" s="18" t="s">
        <v>93</v>
      </c>
      <c r="D40" s="18" t="s">
        <v>27</v>
      </c>
      <c r="E40" s="19" t="s">
        <v>91</v>
      </c>
      <c r="F40" s="4">
        <v>45918</v>
      </c>
      <c r="G40" s="6">
        <v>34697</v>
      </c>
      <c r="H40" s="7" t="str">
        <f t="shared" ca="1" si="0"/>
        <v>32Y</v>
      </c>
      <c r="I40" s="8" t="s">
        <v>28</v>
      </c>
      <c r="J40" s="8" t="s">
        <v>29</v>
      </c>
      <c r="K40" s="15">
        <v>1319900411094</v>
      </c>
      <c r="L40" s="16">
        <v>622837367</v>
      </c>
      <c r="M40" s="5">
        <v>4312115278</v>
      </c>
      <c r="N40" s="9" t="s">
        <v>30</v>
      </c>
      <c r="O40" s="9" t="s">
        <v>31</v>
      </c>
      <c r="P40" s="10"/>
      <c r="Q40" s="5"/>
      <c r="R40" s="17"/>
    </row>
    <row r="41" spans="1:19">
      <c r="A41" s="96">
        <v>38</v>
      </c>
      <c r="B41" s="101">
        <v>121048</v>
      </c>
      <c r="C41" s="18" t="s">
        <v>94</v>
      </c>
      <c r="D41" s="18" t="s">
        <v>27</v>
      </c>
      <c r="E41" s="19" t="s">
        <v>91</v>
      </c>
      <c r="F41" s="4">
        <v>46078</v>
      </c>
      <c r="G41" s="6">
        <v>25892</v>
      </c>
      <c r="H41" s="7" t="str">
        <f t="shared" ca="1" si="0"/>
        <v>56Y</v>
      </c>
      <c r="I41" s="8" t="s">
        <v>28</v>
      </c>
      <c r="J41" s="8" t="s">
        <v>29</v>
      </c>
      <c r="K41" s="15">
        <v>3670800347039</v>
      </c>
      <c r="L41" s="16">
        <v>626524206</v>
      </c>
      <c r="M41" s="5">
        <v>4252316722</v>
      </c>
      <c r="N41" s="9" t="s">
        <v>30</v>
      </c>
      <c r="O41" s="9" t="s">
        <v>31</v>
      </c>
      <c r="P41" s="10"/>
      <c r="Q41" s="5"/>
      <c r="R41" s="17"/>
    </row>
    <row r="42" spans="1:19">
      <c r="A42" s="121">
        <v>39</v>
      </c>
      <c r="B42" s="101">
        <v>121302</v>
      </c>
      <c r="C42" s="18" t="s">
        <v>95</v>
      </c>
      <c r="D42" s="18" t="s">
        <v>27</v>
      </c>
      <c r="E42" s="19" t="s">
        <v>91</v>
      </c>
      <c r="F42" s="4">
        <v>46252</v>
      </c>
      <c r="G42" s="6">
        <v>28097</v>
      </c>
      <c r="H42" s="7" t="str">
        <f t="shared" ca="1" si="0"/>
        <v>50Y</v>
      </c>
      <c r="I42" s="8" t="s">
        <v>28</v>
      </c>
      <c r="J42" s="8" t="s">
        <v>29</v>
      </c>
      <c r="K42" s="15">
        <v>3470900106230</v>
      </c>
      <c r="L42" s="16">
        <v>953324161</v>
      </c>
      <c r="M42" s="131"/>
      <c r="N42" s="9"/>
      <c r="O42" s="9" t="s">
        <v>31</v>
      </c>
      <c r="P42" s="10"/>
      <c r="Q42" s="5"/>
      <c r="R42" s="17"/>
    </row>
    <row r="43" spans="1:19" ht="46.5" customHeight="1">
      <c r="A43" s="96">
        <v>40</v>
      </c>
      <c r="B43" s="101">
        <v>110792</v>
      </c>
      <c r="C43" s="20" t="s">
        <v>96</v>
      </c>
      <c r="D43" s="18" t="s">
        <v>65</v>
      </c>
      <c r="E43" s="19" t="s">
        <v>97</v>
      </c>
      <c r="F43" s="4">
        <v>45372</v>
      </c>
      <c r="G43" s="6">
        <v>28563</v>
      </c>
      <c r="H43" s="7" t="str">
        <f t="shared" ref="H43:H106" ca="1" si="1">YEAR(TODAY())-YEAR(G43)&amp;"Y"</f>
        <v>48Y</v>
      </c>
      <c r="I43" s="8" t="s">
        <v>22</v>
      </c>
      <c r="J43" s="8" t="s">
        <v>29</v>
      </c>
      <c r="K43" s="15">
        <v>3600700423868</v>
      </c>
      <c r="L43" s="16">
        <v>944206191</v>
      </c>
      <c r="M43" s="5">
        <v>4271904358</v>
      </c>
      <c r="N43" s="9" t="s">
        <v>30</v>
      </c>
      <c r="O43" s="9" t="s">
        <v>31</v>
      </c>
      <c r="P43" s="10"/>
      <c r="Q43" s="5"/>
      <c r="R43" s="17"/>
    </row>
    <row r="44" spans="1:19">
      <c r="A44" s="121">
        <v>41</v>
      </c>
      <c r="B44" s="101">
        <v>120185</v>
      </c>
      <c r="C44" s="18" t="s">
        <v>98</v>
      </c>
      <c r="D44" s="18" t="s">
        <v>27</v>
      </c>
      <c r="E44" s="19" t="s">
        <v>97</v>
      </c>
      <c r="F44" s="4">
        <v>44438</v>
      </c>
      <c r="G44" s="6">
        <v>27118</v>
      </c>
      <c r="H44" s="7" t="str">
        <f t="shared" ca="1" si="1"/>
        <v>52Y</v>
      </c>
      <c r="I44" s="8" t="s">
        <v>28</v>
      </c>
      <c r="J44" s="8" t="s">
        <v>29</v>
      </c>
      <c r="K44" s="15">
        <v>3360500754693</v>
      </c>
      <c r="L44" s="16">
        <v>898983038</v>
      </c>
      <c r="M44" s="5">
        <v>4310110971</v>
      </c>
      <c r="N44" s="9" t="s">
        <v>30</v>
      </c>
      <c r="O44" s="9" t="s">
        <v>31</v>
      </c>
      <c r="P44" s="10"/>
      <c r="Q44" s="5"/>
      <c r="R44" s="17"/>
    </row>
    <row r="45" spans="1:19">
      <c r="A45" s="96">
        <v>42</v>
      </c>
      <c r="B45" s="102">
        <v>120940</v>
      </c>
      <c r="C45" s="21" t="s">
        <v>99</v>
      </c>
      <c r="D45" s="21" t="s">
        <v>27</v>
      </c>
      <c r="E45" s="22" t="s">
        <v>97</v>
      </c>
      <c r="F45" s="4">
        <v>45834</v>
      </c>
      <c r="G45" s="6">
        <v>32205</v>
      </c>
      <c r="H45" s="144" t="str">
        <f t="shared" ca="1" si="1"/>
        <v>38Y</v>
      </c>
      <c r="I45" s="121" t="s">
        <v>28</v>
      </c>
      <c r="J45" s="121" t="s">
        <v>29</v>
      </c>
      <c r="K45" s="129">
        <v>1909900163427</v>
      </c>
      <c r="L45" s="151"/>
      <c r="M45" s="96"/>
      <c r="N45" s="148" t="s">
        <v>30</v>
      </c>
      <c r="O45" s="148" t="s">
        <v>31</v>
      </c>
      <c r="P45" s="149"/>
      <c r="Q45" s="96"/>
      <c r="R45" s="152"/>
    </row>
    <row r="46" spans="1:19" ht="23.25" customHeight="1">
      <c r="A46" s="121">
        <v>43</v>
      </c>
      <c r="B46" s="101">
        <v>120768</v>
      </c>
      <c r="C46" s="18" t="s">
        <v>100</v>
      </c>
      <c r="D46" s="18" t="s">
        <v>27</v>
      </c>
      <c r="E46" s="19" t="s">
        <v>101</v>
      </c>
      <c r="F46" s="4">
        <v>45355</v>
      </c>
      <c r="G46" s="6">
        <v>29026</v>
      </c>
      <c r="H46" s="7" t="str">
        <f t="shared" ca="1" si="1"/>
        <v>47Y</v>
      </c>
      <c r="I46" s="8" t="s">
        <v>28</v>
      </c>
      <c r="J46" s="8" t="s">
        <v>29</v>
      </c>
      <c r="K46" s="15">
        <v>3300200616104</v>
      </c>
      <c r="L46" s="16">
        <v>810657901</v>
      </c>
      <c r="M46" s="5">
        <v>4180839577</v>
      </c>
      <c r="N46" s="9" t="s">
        <v>30</v>
      </c>
      <c r="O46" s="9" t="s">
        <v>31</v>
      </c>
      <c r="P46" s="10"/>
      <c r="Q46" s="5"/>
      <c r="R46" s="17"/>
    </row>
    <row r="47" spans="1:19">
      <c r="A47" s="96">
        <v>44</v>
      </c>
      <c r="B47" s="101">
        <v>120887</v>
      </c>
      <c r="C47" s="18" t="s">
        <v>102</v>
      </c>
      <c r="D47" s="18" t="s">
        <v>27</v>
      </c>
      <c r="E47" s="19" t="s">
        <v>101</v>
      </c>
      <c r="F47" s="4">
        <v>45566</v>
      </c>
      <c r="G47" s="6">
        <v>30455</v>
      </c>
      <c r="H47" s="7" t="str">
        <f t="shared" ca="1" si="1"/>
        <v>43Y</v>
      </c>
      <c r="I47" s="8" t="s">
        <v>28</v>
      </c>
      <c r="J47" s="8" t="s">
        <v>29</v>
      </c>
      <c r="K47" s="15">
        <v>3450400288011</v>
      </c>
      <c r="L47" s="16">
        <v>812823763</v>
      </c>
      <c r="M47" s="5">
        <v>6922973602</v>
      </c>
      <c r="N47" s="9" t="s">
        <v>30</v>
      </c>
      <c r="O47" s="9" t="s">
        <v>31</v>
      </c>
      <c r="P47" s="10"/>
      <c r="Q47" s="5"/>
      <c r="R47" s="17"/>
    </row>
    <row r="48" spans="1:19">
      <c r="A48" s="121">
        <v>45</v>
      </c>
      <c r="B48" s="101">
        <v>120980</v>
      </c>
      <c r="C48" s="18" t="s">
        <v>103</v>
      </c>
      <c r="D48" s="18" t="s">
        <v>27</v>
      </c>
      <c r="E48" s="19" t="s">
        <v>101</v>
      </c>
      <c r="F48" s="4">
        <v>45951</v>
      </c>
      <c r="G48" s="6">
        <v>26098</v>
      </c>
      <c r="H48" s="7" t="str">
        <f t="shared" ca="1" si="1"/>
        <v>55Y</v>
      </c>
      <c r="I48" s="8" t="s">
        <v>28</v>
      </c>
      <c r="J48" s="8" t="s">
        <v>29</v>
      </c>
      <c r="K48" s="129">
        <v>3330600345582</v>
      </c>
      <c r="L48" s="16">
        <v>808860859</v>
      </c>
      <c r="M48" s="5">
        <v>4292173744</v>
      </c>
      <c r="N48" s="9" t="s">
        <v>30</v>
      </c>
      <c r="O48" s="9" t="s">
        <v>31</v>
      </c>
      <c r="P48" s="10"/>
      <c r="Q48" s="5"/>
      <c r="R48" s="17"/>
    </row>
    <row r="49" spans="1:18">
      <c r="A49" s="96">
        <v>46</v>
      </c>
      <c r="B49" s="101">
        <v>120871</v>
      </c>
      <c r="C49" s="18" t="s">
        <v>104</v>
      </c>
      <c r="D49" s="18" t="s">
        <v>27</v>
      </c>
      <c r="E49" s="19" t="s">
        <v>105</v>
      </c>
      <c r="F49" s="4">
        <v>45589</v>
      </c>
      <c r="G49" s="6">
        <v>28729</v>
      </c>
      <c r="H49" s="7" t="str">
        <f t="shared" ca="1" si="1"/>
        <v>48Y</v>
      </c>
      <c r="I49" s="8" t="s">
        <v>28</v>
      </c>
      <c r="J49" s="8" t="s">
        <v>29</v>
      </c>
      <c r="K49" s="15">
        <v>3301100366239</v>
      </c>
      <c r="L49" s="16">
        <v>860272820</v>
      </c>
      <c r="M49" s="5">
        <v>8324014658</v>
      </c>
      <c r="N49" s="9" t="s">
        <v>30</v>
      </c>
      <c r="O49" s="9" t="s">
        <v>31</v>
      </c>
      <c r="P49" s="10"/>
      <c r="Q49" s="5"/>
      <c r="R49" s="17"/>
    </row>
    <row r="50" spans="1:18">
      <c r="A50" s="121">
        <v>47</v>
      </c>
      <c r="B50" s="101">
        <v>120321</v>
      </c>
      <c r="C50" s="18" t="s">
        <v>106</v>
      </c>
      <c r="D50" s="18" t="s">
        <v>27</v>
      </c>
      <c r="E50" s="19" t="s">
        <v>105</v>
      </c>
      <c r="F50" s="4">
        <v>43971</v>
      </c>
      <c r="G50" s="6">
        <v>23097</v>
      </c>
      <c r="H50" s="7" t="str">
        <f t="shared" ca="1" si="1"/>
        <v>63Y</v>
      </c>
      <c r="I50" s="8" t="s">
        <v>28</v>
      </c>
      <c r="J50" s="8" t="s">
        <v>29</v>
      </c>
      <c r="K50" s="15">
        <v>5401799022878</v>
      </c>
      <c r="L50" s="16">
        <v>636848955</v>
      </c>
      <c r="M50" s="5">
        <v>4270267981</v>
      </c>
      <c r="N50" s="9" t="s">
        <v>30</v>
      </c>
      <c r="O50" s="9" t="s">
        <v>31</v>
      </c>
      <c r="P50" s="10"/>
      <c r="Q50" s="5"/>
      <c r="R50" s="17"/>
    </row>
    <row r="51" spans="1:18">
      <c r="A51" s="96">
        <v>48</v>
      </c>
      <c r="B51" s="101">
        <v>120640</v>
      </c>
      <c r="C51" s="18" t="s">
        <v>107</v>
      </c>
      <c r="D51" s="18" t="s">
        <v>27</v>
      </c>
      <c r="E51" s="19" t="s">
        <v>105</v>
      </c>
      <c r="F51" s="4">
        <v>44828</v>
      </c>
      <c r="G51" s="6">
        <v>34396</v>
      </c>
      <c r="H51" s="7" t="str">
        <f t="shared" ca="1" si="1"/>
        <v>32Y</v>
      </c>
      <c r="I51" s="8" t="s">
        <v>28</v>
      </c>
      <c r="J51" s="8" t="s">
        <v>29</v>
      </c>
      <c r="K51" s="15">
        <v>1319800113091</v>
      </c>
      <c r="L51" s="16">
        <v>928021917</v>
      </c>
      <c r="M51" s="5">
        <v>8942603077</v>
      </c>
      <c r="N51" s="9" t="s">
        <v>30</v>
      </c>
      <c r="O51" s="9" t="s">
        <v>31</v>
      </c>
      <c r="P51" s="10"/>
      <c r="Q51" s="5"/>
      <c r="R51" s="17"/>
    </row>
    <row r="52" spans="1:18">
      <c r="A52" s="121">
        <v>49</v>
      </c>
      <c r="B52" s="101">
        <v>120822</v>
      </c>
      <c r="C52" s="18" t="s">
        <v>108</v>
      </c>
      <c r="D52" s="25" t="s">
        <v>109</v>
      </c>
      <c r="E52" s="26" t="s">
        <v>110</v>
      </c>
      <c r="F52" s="4">
        <v>45432</v>
      </c>
      <c r="G52" s="6">
        <v>36934</v>
      </c>
      <c r="H52" s="7" t="str">
        <f t="shared" ca="1" si="1"/>
        <v>25Y</v>
      </c>
      <c r="I52" s="8" t="s">
        <v>28</v>
      </c>
      <c r="J52" s="8" t="s">
        <v>29</v>
      </c>
      <c r="K52" s="15">
        <v>1409700194315</v>
      </c>
      <c r="L52" s="16">
        <v>634839025</v>
      </c>
      <c r="M52" s="5">
        <v>4301851328</v>
      </c>
      <c r="N52" s="9" t="s">
        <v>30</v>
      </c>
      <c r="O52" s="9" t="s">
        <v>31</v>
      </c>
      <c r="P52" s="10" t="s">
        <v>32</v>
      </c>
      <c r="Q52" s="5"/>
      <c r="R52" s="17"/>
    </row>
    <row r="53" spans="1:18" ht="46.5">
      <c r="A53" s="96">
        <v>50</v>
      </c>
      <c r="B53" s="102">
        <v>120524</v>
      </c>
      <c r="C53" s="18" t="s">
        <v>111</v>
      </c>
      <c r="D53" s="25" t="s">
        <v>109</v>
      </c>
      <c r="E53" s="26" t="s">
        <v>110</v>
      </c>
      <c r="F53" s="4">
        <v>44730</v>
      </c>
      <c r="G53" s="6">
        <v>36543</v>
      </c>
      <c r="H53" s="7" t="str">
        <f t="shared" ca="1" si="1"/>
        <v>26Y</v>
      </c>
      <c r="I53" s="8" t="s">
        <v>28</v>
      </c>
      <c r="J53" s="8" t="s">
        <v>29</v>
      </c>
      <c r="K53" s="15">
        <v>1101801073748</v>
      </c>
      <c r="L53" s="16">
        <v>864071375</v>
      </c>
      <c r="M53" s="5">
        <v>4151393685</v>
      </c>
      <c r="N53" s="9" t="s">
        <v>30</v>
      </c>
      <c r="O53" s="9" t="s">
        <v>31</v>
      </c>
      <c r="P53" s="10" t="s">
        <v>44</v>
      </c>
      <c r="Q53" s="5"/>
      <c r="R53" s="17"/>
    </row>
    <row r="54" spans="1:18" ht="46.5">
      <c r="A54" s="121">
        <v>51</v>
      </c>
      <c r="B54" s="102">
        <v>120143</v>
      </c>
      <c r="C54" s="18" t="s">
        <v>112</v>
      </c>
      <c r="D54" s="25" t="s">
        <v>113</v>
      </c>
      <c r="E54" s="26" t="s">
        <v>110</v>
      </c>
      <c r="F54" s="4">
        <v>42996</v>
      </c>
      <c r="G54" s="6">
        <v>30284</v>
      </c>
      <c r="H54" s="7" t="str">
        <f t="shared" ca="1" si="1"/>
        <v>44Y</v>
      </c>
      <c r="I54" s="8" t="s">
        <v>28</v>
      </c>
      <c r="J54" s="8" t="s">
        <v>29</v>
      </c>
      <c r="K54" s="15">
        <v>3600800090160</v>
      </c>
      <c r="L54" s="16">
        <v>962162189</v>
      </c>
      <c r="M54" s="5">
        <v>4083876165</v>
      </c>
      <c r="N54" s="9" t="s">
        <v>30</v>
      </c>
      <c r="O54" s="9" t="s">
        <v>31</v>
      </c>
      <c r="P54" s="10" t="s">
        <v>44</v>
      </c>
      <c r="Q54" s="5"/>
      <c r="R54" s="17"/>
    </row>
    <row r="55" spans="1:18" ht="46.5">
      <c r="A55" s="96">
        <v>52</v>
      </c>
      <c r="B55" s="103">
        <v>121095</v>
      </c>
      <c r="C55" s="18" t="s">
        <v>114</v>
      </c>
      <c r="D55" s="25" t="s">
        <v>115</v>
      </c>
      <c r="E55" s="26" t="s">
        <v>110</v>
      </c>
      <c r="F55" s="4">
        <v>46188</v>
      </c>
      <c r="G55" s="6">
        <v>25838</v>
      </c>
      <c r="H55" s="7" t="str">
        <f t="shared" ca="1" si="1"/>
        <v>56Y</v>
      </c>
      <c r="I55" s="8" t="s">
        <v>28</v>
      </c>
      <c r="J55" s="8" t="s">
        <v>29</v>
      </c>
      <c r="K55" s="15">
        <v>3220300047919</v>
      </c>
      <c r="L55" s="16">
        <v>882103479</v>
      </c>
      <c r="M55" s="5">
        <v>9912511450</v>
      </c>
      <c r="N55" s="9" t="s">
        <v>30</v>
      </c>
      <c r="O55" s="9" t="s">
        <v>62</v>
      </c>
      <c r="P55" s="10"/>
      <c r="Q55" s="5"/>
      <c r="R55" s="17"/>
    </row>
    <row r="56" spans="1:18" ht="46.5">
      <c r="A56" s="121">
        <v>53</v>
      </c>
      <c r="B56" s="102">
        <v>120001</v>
      </c>
      <c r="C56" s="18" t="s">
        <v>116</v>
      </c>
      <c r="D56" s="25" t="s">
        <v>117</v>
      </c>
      <c r="E56" s="26" t="s">
        <v>110</v>
      </c>
      <c r="F56" s="4">
        <v>42095</v>
      </c>
      <c r="G56" s="6">
        <v>23000</v>
      </c>
      <c r="H56" s="7" t="str">
        <f t="shared" ca="1" si="1"/>
        <v>64Y</v>
      </c>
      <c r="I56" s="8" t="s">
        <v>28</v>
      </c>
      <c r="J56" s="8" t="s">
        <v>29</v>
      </c>
      <c r="K56" s="15">
        <v>3570100846874</v>
      </c>
      <c r="L56" s="16">
        <v>870223371</v>
      </c>
      <c r="M56" s="5">
        <v>8942314636</v>
      </c>
      <c r="N56" s="9" t="s">
        <v>30</v>
      </c>
      <c r="O56" s="9" t="s">
        <v>62</v>
      </c>
      <c r="P56" s="10"/>
      <c r="Q56" s="5"/>
      <c r="R56" s="17"/>
    </row>
    <row r="57" spans="1:18">
      <c r="A57" s="96">
        <v>54</v>
      </c>
      <c r="B57" s="103">
        <v>120886</v>
      </c>
      <c r="C57" s="18" t="s">
        <v>118</v>
      </c>
      <c r="D57" s="25" t="s">
        <v>119</v>
      </c>
      <c r="E57" s="26" t="s">
        <v>110</v>
      </c>
      <c r="F57" s="4">
        <v>45551</v>
      </c>
      <c r="G57" s="6">
        <v>31486</v>
      </c>
      <c r="H57" s="7" t="str">
        <f t="shared" ca="1" si="1"/>
        <v>40Y</v>
      </c>
      <c r="I57" s="8" t="s">
        <v>28</v>
      </c>
      <c r="J57" s="8" t="s">
        <v>29</v>
      </c>
      <c r="K57" s="15">
        <v>1620500081118</v>
      </c>
      <c r="L57" s="16">
        <v>927391532</v>
      </c>
      <c r="M57" s="5">
        <v>4341952710</v>
      </c>
      <c r="N57" s="9" t="s">
        <v>30</v>
      </c>
      <c r="O57" s="9" t="s">
        <v>31</v>
      </c>
      <c r="P57" s="10"/>
      <c r="Q57" s="5"/>
      <c r="R57" s="17"/>
    </row>
    <row r="58" spans="1:18" ht="46.5">
      <c r="A58" s="121">
        <v>55</v>
      </c>
      <c r="B58" s="104">
        <v>120699</v>
      </c>
      <c r="C58" s="18" t="s">
        <v>120</v>
      </c>
      <c r="D58" s="25" t="s">
        <v>121</v>
      </c>
      <c r="E58" s="26" t="s">
        <v>110</v>
      </c>
      <c r="F58" s="4">
        <v>45509</v>
      </c>
      <c r="G58" s="6">
        <v>32664</v>
      </c>
      <c r="H58" s="7" t="str">
        <f t="shared" ca="1" si="1"/>
        <v>37Y</v>
      </c>
      <c r="I58" s="8" t="s">
        <v>28</v>
      </c>
      <c r="J58" s="8" t="s">
        <v>29</v>
      </c>
      <c r="K58" s="15">
        <v>1301600074575</v>
      </c>
      <c r="L58" s="16">
        <v>939097248</v>
      </c>
      <c r="M58" s="5">
        <v>4331754782</v>
      </c>
      <c r="N58" s="9" t="s">
        <v>30</v>
      </c>
      <c r="O58" s="9" t="s">
        <v>31</v>
      </c>
      <c r="P58" s="10" t="s">
        <v>44</v>
      </c>
      <c r="Q58" s="5"/>
      <c r="R58" s="17"/>
    </row>
    <row r="59" spans="1:18" ht="46.5">
      <c r="A59" s="96">
        <v>56</v>
      </c>
      <c r="B59" s="104">
        <v>110970</v>
      </c>
      <c r="C59" s="18" t="s">
        <v>122</v>
      </c>
      <c r="D59" s="18" t="s">
        <v>123</v>
      </c>
      <c r="E59" s="26" t="s">
        <v>110</v>
      </c>
      <c r="F59" s="4">
        <v>45888</v>
      </c>
      <c r="G59" s="6">
        <v>31596</v>
      </c>
      <c r="H59" s="7" t="str">
        <f t="shared" ca="1" si="1"/>
        <v>40Y</v>
      </c>
      <c r="I59" s="8" t="s">
        <v>22</v>
      </c>
      <c r="J59" s="8" t="s">
        <v>29</v>
      </c>
      <c r="K59" s="15" t="s">
        <v>413</v>
      </c>
      <c r="L59" s="16" t="s">
        <v>414</v>
      </c>
      <c r="M59" s="5"/>
      <c r="N59" s="9"/>
      <c r="O59" s="9" t="s">
        <v>31</v>
      </c>
      <c r="P59" s="10" t="s">
        <v>44</v>
      </c>
      <c r="Q59" s="5"/>
      <c r="R59" s="17"/>
    </row>
    <row r="60" spans="1:18" ht="46.5">
      <c r="A60" s="121">
        <v>57</v>
      </c>
      <c r="B60" s="91">
        <v>311064</v>
      </c>
      <c r="C60" s="21" t="s">
        <v>124</v>
      </c>
      <c r="D60" s="21" t="s">
        <v>125</v>
      </c>
      <c r="E60" s="22" t="s">
        <v>126</v>
      </c>
      <c r="F60" s="4">
        <v>25299</v>
      </c>
      <c r="G60" s="6">
        <v>37694</v>
      </c>
      <c r="H60" s="144" t="str">
        <f t="shared" ca="1" si="1"/>
        <v>23Y</v>
      </c>
      <c r="I60" s="121" t="s">
        <v>22</v>
      </c>
      <c r="J60" s="121" t="s">
        <v>151</v>
      </c>
      <c r="K60" s="129"/>
      <c r="L60" s="151"/>
      <c r="M60" s="96"/>
      <c r="N60" s="148"/>
      <c r="O60" s="148" t="s">
        <v>25</v>
      </c>
      <c r="P60" s="149"/>
      <c r="Q60" s="96"/>
      <c r="R60" s="152"/>
    </row>
    <row r="61" spans="1:18" ht="46.5">
      <c r="A61" s="96">
        <v>58</v>
      </c>
      <c r="B61" s="92">
        <v>210945</v>
      </c>
      <c r="C61" s="18" t="s">
        <v>127</v>
      </c>
      <c r="D61" s="18" t="s">
        <v>128</v>
      </c>
      <c r="E61" s="19" t="s">
        <v>126</v>
      </c>
      <c r="F61" s="4">
        <v>45876</v>
      </c>
      <c r="G61" s="6">
        <v>36196</v>
      </c>
      <c r="H61" s="7" t="str">
        <f t="shared" ca="1" si="1"/>
        <v>27Y</v>
      </c>
      <c r="I61" s="8" t="s">
        <v>22</v>
      </c>
      <c r="J61" s="8" t="s">
        <v>23</v>
      </c>
      <c r="K61" s="15">
        <v>6652060053993</v>
      </c>
      <c r="L61" s="130"/>
      <c r="M61" s="5"/>
      <c r="N61" s="9"/>
      <c r="O61" s="9" t="s">
        <v>25</v>
      </c>
      <c r="P61" s="10"/>
      <c r="Q61" s="5"/>
      <c r="R61" s="17"/>
    </row>
    <row r="62" spans="1:18">
      <c r="A62" s="121">
        <v>59</v>
      </c>
      <c r="B62" s="90">
        <v>210629</v>
      </c>
      <c r="C62" s="21" t="s">
        <v>129</v>
      </c>
      <c r="D62" s="21" t="s">
        <v>128</v>
      </c>
      <c r="E62" s="22" t="s">
        <v>126</v>
      </c>
      <c r="F62" s="4">
        <v>45232</v>
      </c>
      <c r="G62" s="6">
        <v>35075</v>
      </c>
      <c r="H62" s="144" t="str">
        <f t="shared" ca="1" si="1"/>
        <v>30Y</v>
      </c>
      <c r="I62" s="121" t="s">
        <v>22</v>
      </c>
      <c r="J62" s="121" t="s">
        <v>23</v>
      </c>
      <c r="K62" s="129">
        <v>21061310574</v>
      </c>
      <c r="L62" s="151">
        <v>945529067</v>
      </c>
      <c r="M62" s="96"/>
      <c r="N62" s="148"/>
      <c r="O62" s="148" t="s">
        <v>31</v>
      </c>
      <c r="P62" s="149" t="s">
        <v>32</v>
      </c>
      <c r="Q62" s="96"/>
      <c r="R62" s="152"/>
    </row>
    <row r="63" spans="1:18" ht="46.5">
      <c r="A63" s="96">
        <v>60</v>
      </c>
      <c r="B63" s="92">
        <v>310954</v>
      </c>
      <c r="C63" s="18" t="s">
        <v>130</v>
      </c>
      <c r="D63" s="18" t="s">
        <v>131</v>
      </c>
      <c r="E63" s="19" t="s">
        <v>126</v>
      </c>
      <c r="F63" s="4">
        <v>45873</v>
      </c>
      <c r="G63" s="6">
        <v>37806</v>
      </c>
      <c r="H63" s="7" t="str">
        <f t="shared" ca="1" si="1"/>
        <v>23Y</v>
      </c>
      <c r="I63" s="8" t="s">
        <v>22</v>
      </c>
      <c r="J63" s="8" t="s">
        <v>151</v>
      </c>
      <c r="K63" s="15">
        <v>20991069072</v>
      </c>
      <c r="L63" s="16">
        <v>619086077</v>
      </c>
      <c r="M63" s="5"/>
      <c r="N63" s="9"/>
      <c r="O63" s="9" t="s">
        <v>25</v>
      </c>
      <c r="P63" s="10"/>
      <c r="Q63" s="5"/>
      <c r="R63" s="17"/>
    </row>
    <row r="64" spans="1:18" ht="46.5">
      <c r="A64" s="121">
        <v>61</v>
      </c>
      <c r="B64" s="91">
        <v>310956</v>
      </c>
      <c r="C64" s="21" t="s">
        <v>132</v>
      </c>
      <c r="D64" s="21" t="s">
        <v>131</v>
      </c>
      <c r="E64" s="22" t="s">
        <v>126</v>
      </c>
      <c r="F64" s="4">
        <v>45839</v>
      </c>
      <c r="G64" s="6">
        <v>36545</v>
      </c>
      <c r="H64" s="144" t="str">
        <f t="shared" ca="1" si="1"/>
        <v>26Y</v>
      </c>
      <c r="I64" s="121" t="s">
        <v>22</v>
      </c>
      <c r="J64" s="121" t="s">
        <v>151</v>
      </c>
      <c r="K64" s="129" t="s">
        <v>412</v>
      </c>
      <c r="L64" s="151"/>
      <c r="M64" s="96"/>
      <c r="N64" s="148"/>
      <c r="O64" s="148" t="s">
        <v>25</v>
      </c>
      <c r="P64" s="149"/>
      <c r="Q64" s="96"/>
      <c r="R64" s="152"/>
    </row>
    <row r="65" spans="1:18" ht="46.5">
      <c r="A65" s="96">
        <v>62</v>
      </c>
      <c r="B65" s="91">
        <v>210991</v>
      </c>
      <c r="C65" s="21" t="s">
        <v>133</v>
      </c>
      <c r="D65" s="21" t="s">
        <v>131</v>
      </c>
      <c r="E65" s="22" t="s">
        <v>126</v>
      </c>
      <c r="F65" s="4">
        <v>45689</v>
      </c>
      <c r="G65" s="6">
        <v>36193</v>
      </c>
      <c r="H65" s="144" t="str">
        <f t="shared" ca="1" si="1"/>
        <v>27Y</v>
      </c>
      <c r="I65" s="121" t="s">
        <v>22</v>
      </c>
      <c r="J65" s="121" t="s">
        <v>23</v>
      </c>
      <c r="K65" s="129">
        <v>21061330451</v>
      </c>
      <c r="L65" s="151">
        <v>618285693</v>
      </c>
      <c r="M65" s="96">
        <v>4360470402</v>
      </c>
      <c r="N65" s="148" t="s">
        <v>30</v>
      </c>
      <c r="O65" s="148" t="s">
        <v>25</v>
      </c>
      <c r="P65" s="149"/>
      <c r="Q65" s="96"/>
      <c r="R65" s="152"/>
    </row>
    <row r="66" spans="1:18" ht="46.5">
      <c r="A66" s="121">
        <v>63</v>
      </c>
      <c r="B66" s="92">
        <v>311027</v>
      </c>
      <c r="C66" s="18" t="s">
        <v>134</v>
      </c>
      <c r="D66" s="18" t="s">
        <v>131</v>
      </c>
      <c r="E66" s="19" t="s">
        <v>126</v>
      </c>
      <c r="F66" s="4">
        <v>45874</v>
      </c>
      <c r="G66" s="4">
        <v>37773</v>
      </c>
      <c r="H66" s="7" t="str">
        <f t="shared" ca="1" si="1"/>
        <v>23Y</v>
      </c>
      <c r="I66" s="8" t="s">
        <v>22</v>
      </c>
      <c r="J66" s="8" t="s">
        <v>151</v>
      </c>
      <c r="K66" s="15">
        <v>63981853041</v>
      </c>
      <c r="L66" s="16">
        <v>988850049</v>
      </c>
      <c r="M66" s="5"/>
      <c r="N66" s="9"/>
      <c r="O66" s="9" t="s">
        <v>25</v>
      </c>
      <c r="P66" s="10"/>
      <c r="Q66" s="5"/>
      <c r="R66" s="17"/>
    </row>
    <row r="67" spans="1:18" ht="46.5">
      <c r="A67" s="96">
        <v>64</v>
      </c>
      <c r="B67" s="91">
        <v>311029</v>
      </c>
      <c r="C67" s="21" t="s">
        <v>135</v>
      </c>
      <c r="D67" s="21" t="s">
        <v>136</v>
      </c>
      <c r="E67" s="22" t="s">
        <v>126</v>
      </c>
      <c r="F67" s="4">
        <v>46066</v>
      </c>
      <c r="G67" s="6">
        <v>38657</v>
      </c>
      <c r="H67" s="144" t="str">
        <f t="shared" ca="1" si="1"/>
        <v>21Y</v>
      </c>
      <c r="I67" s="121" t="s">
        <v>22</v>
      </c>
      <c r="J67" s="121" t="s">
        <v>151</v>
      </c>
      <c r="K67" s="129">
        <v>6682090009044</v>
      </c>
      <c r="L67" s="151"/>
      <c r="M67" s="96"/>
      <c r="N67" s="148"/>
      <c r="O67" s="148" t="s">
        <v>25</v>
      </c>
      <c r="P67" s="149"/>
      <c r="Q67" s="96"/>
      <c r="R67" s="152"/>
    </row>
    <row r="68" spans="1:18" ht="46.5">
      <c r="A68" s="121">
        <v>65</v>
      </c>
      <c r="B68" s="90">
        <v>210542</v>
      </c>
      <c r="C68" s="21" t="s">
        <v>137</v>
      </c>
      <c r="D68" s="21" t="s">
        <v>136</v>
      </c>
      <c r="E68" s="22" t="s">
        <v>126</v>
      </c>
      <c r="F68" s="4">
        <v>44758</v>
      </c>
      <c r="G68" s="6">
        <v>32577</v>
      </c>
      <c r="H68" s="144" t="str">
        <f t="shared" ca="1" si="1"/>
        <v>37Y</v>
      </c>
      <c r="I68" s="121" t="s">
        <v>22</v>
      </c>
      <c r="J68" s="121" t="s">
        <v>23</v>
      </c>
      <c r="K68" s="129">
        <v>20011725303</v>
      </c>
      <c r="L68" s="151"/>
      <c r="M68" s="96"/>
      <c r="N68" s="148"/>
      <c r="O68" s="148" t="s">
        <v>31</v>
      </c>
      <c r="P68" s="149" t="s">
        <v>32</v>
      </c>
      <c r="Q68" s="96"/>
      <c r="R68" s="152"/>
    </row>
    <row r="69" spans="1:18" ht="46.5">
      <c r="A69" s="96">
        <v>66</v>
      </c>
      <c r="B69" s="91">
        <v>311028</v>
      </c>
      <c r="C69" s="21" t="s">
        <v>138</v>
      </c>
      <c r="D69" s="21" t="s">
        <v>136</v>
      </c>
      <c r="E69" s="22" t="s">
        <v>126</v>
      </c>
      <c r="F69" s="4">
        <v>46064</v>
      </c>
      <c r="G69" s="6">
        <v>35814</v>
      </c>
      <c r="H69" s="144" t="str">
        <f t="shared" ca="1" si="1"/>
        <v>28Y</v>
      </c>
      <c r="I69" s="121" t="s">
        <v>22</v>
      </c>
      <c r="J69" s="121" t="s">
        <v>151</v>
      </c>
      <c r="K69" s="129" t="s">
        <v>415</v>
      </c>
      <c r="L69" s="151"/>
      <c r="M69" s="96"/>
      <c r="N69" s="148"/>
      <c r="O69" s="148" t="s">
        <v>25</v>
      </c>
      <c r="P69" s="149"/>
      <c r="Q69" s="96"/>
      <c r="R69" s="152"/>
    </row>
    <row r="70" spans="1:18" ht="46.5">
      <c r="A70" s="121">
        <v>67</v>
      </c>
      <c r="B70" s="92">
        <v>310973</v>
      </c>
      <c r="C70" s="18" t="s">
        <v>139</v>
      </c>
      <c r="D70" s="18" t="s">
        <v>136</v>
      </c>
      <c r="E70" s="19" t="s">
        <v>126</v>
      </c>
      <c r="F70" s="4">
        <v>45939</v>
      </c>
      <c r="G70" s="6">
        <v>31690</v>
      </c>
      <c r="H70" s="7" t="str">
        <f t="shared" ca="1" si="1"/>
        <v>40Y</v>
      </c>
      <c r="I70" s="8" t="s">
        <v>22</v>
      </c>
      <c r="J70" s="8" t="s">
        <v>151</v>
      </c>
      <c r="K70" s="15">
        <v>20091258405</v>
      </c>
      <c r="L70" s="16">
        <v>65982321</v>
      </c>
      <c r="M70" s="5"/>
      <c r="N70" s="9"/>
      <c r="O70" s="9" t="s">
        <v>25</v>
      </c>
      <c r="P70" s="10"/>
      <c r="Q70" s="5"/>
      <c r="R70" s="17"/>
    </row>
    <row r="71" spans="1:18">
      <c r="A71" s="96">
        <v>68</v>
      </c>
      <c r="B71" s="89">
        <v>210041</v>
      </c>
      <c r="C71" s="18" t="s">
        <v>140</v>
      </c>
      <c r="D71" s="18" t="s">
        <v>141</v>
      </c>
      <c r="E71" s="19" t="s">
        <v>126</v>
      </c>
      <c r="F71" s="4">
        <v>42177</v>
      </c>
      <c r="G71" s="6">
        <v>28502</v>
      </c>
      <c r="H71" s="7" t="str">
        <f t="shared" ca="1" si="1"/>
        <v>48Y</v>
      </c>
      <c r="I71" s="8" t="s">
        <v>22</v>
      </c>
      <c r="J71" s="8" t="s">
        <v>23</v>
      </c>
      <c r="K71" s="15">
        <v>2100642005265</v>
      </c>
      <c r="L71" s="16">
        <v>653295690</v>
      </c>
      <c r="M71" s="5"/>
      <c r="N71" s="9"/>
      <c r="O71" s="9" t="s">
        <v>31</v>
      </c>
      <c r="P71" s="10" t="s">
        <v>32</v>
      </c>
      <c r="Q71" s="5"/>
      <c r="R71" s="17"/>
    </row>
    <row r="72" spans="1:18">
      <c r="A72" s="121">
        <v>69</v>
      </c>
      <c r="B72" s="89">
        <v>210752</v>
      </c>
      <c r="C72" s="18" t="s">
        <v>406</v>
      </c>
      <c r="D72" s="18" t="s">
        <v>141</v>
      </c>
      <c r="E72" s="19" t="s">
        <v>126</v>
      </c>
      <c r="F72" s="4">
        <v>45306</v>
      </c>
      <c r="G72" s="6">
        <v>28979</v>
      </c>
      <c r="H72" s="7" t="str">
        <f t="shared" ca="1" si="1"/>
        <v>47Y</v>
      </c>
      <c r="I72" s="8" t="s">
        <v>22</v>
      </c>
      <c r="J72" s="8" t="s">
        <v>23</v>
      </c>
      <c r="K72" s="15">
        <v>1200652003820</v>
      </c>
      <c r="L72" s="16">
        <v>944033735</v>
      </c>
      <c r="M72" s="5"/>
      <c r="N72" s="9"/>
      <c r="O72" s="9" t="s">
        <v>31</v>
      </c>
      <c r="P72" s="10" t="s">
        <v>32</v>
      </c>
      <c r="Q72" s="5"/>
      <c r="R72" s="17"/>
    </row>
    <row r="73" spans="1:18" ht="46.5">
      <c r="A73" s="96">
        <v>70</v>
      </c>
      <c r="B73" s="92">
        <v>210165</v>
      </c>
      <c r="C73" s="18" t="s">
        <v>142</v>
      </c>
      <c r="D73" s="18" t="s">
        <v>141</v>
      </c>
      <c r="E73" s="19" t="s">
        <v>126</v>
      </c>
      <c r="F73" s="4">
        <v>45886</v>
      </c>
      <c r="G73" s="6">
        <v>28225</v>
      </c>
      <c r="H73" s="7" t="str">
        <f t="shared" ca="1" si="1"/>
        <v>49Y</v>
      </c>
      <c r="I73" s="8" t="s">
        <v>22</v>
      </c>
      <c r="J73" s="8" t="s">
        <v>23</v>
      </c>
      <c r="K73" s="15">
        <v>12041368250</v>
      </c>
      <c r="L73" s="16">
        <v>634189766</v>
      </c>
      <c r="M73" s="5"/>
      <c r="N73" s="9"/>
      <c r="O73" s="9" t="s">
        <v>25</v>
      </c>
      <c r="P73" s="10"/>
      <c r="Q73" s="5"/>
      <c r="R73" s="17"/>
    </row>
    <row r="74" spans="1:18" ht="46.5">
      <c r="A74" s="121">
        <v>71</v>
      </c>
      <c r="B74" s="91">
        <v>310953</v>
      </c>
      <c r="C74" s="20" t="s">
        <v>143</v>
      </c>
      <c r="D74" s="18" t="s">
        <v>141</v>
      </c>
      <c r="E74" s="22" t="s">
        <v>126</v>
      </c>
      <c r="F74" s="4" t="s">
        <v>407</v>
      </c>
      <c r="G74" s="6">
        <v>37010</v>
      </c>
      <c r="H74" s="7" t="str">
        <f t="shared" ca="1" si="1"/>
        <v>25Y</v>
      </c>
      <c r="I74" s="8" t="s">
        <v>22</v>
      </c>
      <c r="J74" s="8" t="s">
        <v>151</v>
      </c>
      <c r="K74" s="15">
        <v>6682090044852</v>
      </c>
      <c r="L74" s="16">
        <v>634370217</v>
      </c>
      <c r="M74" s="5"/>
      <c r="N74" s="9"/>
      <c r="O74" s="9" t="s">
        <v>25</v>
      </c>
      <c r="P74" s="10"/>
      <c r="Q74" s="5"/>
      <c r="R74" s="17"/>
    </row>
    <row r="75" spans="1:18" ht="46.5">
      <c r="A75" s="96">
        <v>72</v>
      </c>
      <c r="B75" s="92">
        <v>310955</v>
      </c>
      <c r="C75" s="18" t="s">
        <v>144</v>
      </c>
      <c r="D75" s="18" t="s">
        <v>145</v>
      </c>
      <c r="E75" s="19" t="s">
        <v>126</v>
      </c>
      <c r="F75" s="4">
        <v>45888</v>
      </c>
      <c r="G75" s="6">
        <v>34311</v>
      </c>
      <c r="H75" s="7" t="str">
        <f t="shared" ca="1" si="1"/>
        <v>33Y</v>
      </c>
      <c r="I75" s="8" t="s">
        <v>22</v>
      </c>
      <c r="J75" s="8" t="s">
        <v>151</v>
      </c>
      <c r="K75" s="15">
        <v>6682090082869</v>
      </c>
      <c r="L75" s="16">
        <v>634699121</v>
      </c>
      <c r="M75" s="5"/>
      <c r="N75" s="9"/>
      <c r="O75" s="9" t="s">
        <v>25</v>
      </c>
      <c r="P75" s="10" t="s">
        <v>404</v>
      </c>
      <c r="Q75" s="5"/>
      <c r="R75" s="17"/>
    </row>
    <row r="76" spans="1:18" ht="46.5">
      <c r="A76" s="121">
        <v>73</v>
      </c>
      <c r="B76" s="104">
        <v>120765</v>
      </c>
      <c r="C76" s="18" t="s">
        <v>146</v>
      </c>
      <c r="D76" s="18" t="s">
        <v>27</v>
      </c>
      <c r="E76" s="19" t="s">
        <v>126</v>
      </c>
      <c r="F76" s="4">
        <v>45404</v>
      </c>
      <c r="G76" s="6">
        <v>24300</v>
      </c>
      <c r="H76" s="7" t="str">
        <f t="shared" ca="1" si="1"/>
        <v>60Y</v>
      </c>
      <c r="I76" s="8" t="s">
        <v>28</v>
      </c>
      <c r="J76" s="8" t="s">
        <v>29</v>
      </c>
      <c r="K76" s="15">
        <v>3670800063375</v>
      </c>
      <c r="L76" s="16">
        <v>822013981</v>
      </c>
      <c r="M76" s="5">
        <v>4361873920</v>
      </c>
      <c r="N76" s="9" t="s">
        <v>30</v>
      </c>
      <c r="O76" s="9" t="s">
        <v>62</v>
      </c>
      <c r="P76" s="10" t="s">
        <v>404</v>
      </c>
      <c r="Q76" s="5"/>
      <c r="R76" s="17"/>
    </row>
    <row r="77" spans="1:18" ht="46.5">
      <c r="A77" s="96">
        <v>74</v>
      </c>
      <c r="B77" s="92">
        <v>220937</v>
      </c>
      <c r="C77" s="18" t="s">
        <v>397</v>
      </c>
      <c r="D77" s="18" t="s">
        <v>27</v>
      </c>
      <c r="E77" s="19" t="s">
        <v>126</v>
      </c>
      <c r="F77" s="4">
        <v>45721</v>
      </c>
      <c r="G77" s="6">
        <v>38085</v>
      </c>
      <c r="H77" s="7" t="str">
        <f t="shared" ca="1" si="1"/>
        <v>22Y</v>
      </c>
      <c r="I77" s="8" t="s">
        <v>28</v>
      </c>
      <c r="J77" s="8" t="s">
        <v>23</v>
      </c>
      <c r="K77" s="15">
        <v>6682100029876</v>
      </c>
      <c r="L77" s="16">
        <v>630072566</v>
      </c>
      <c r="M77" s="5"/>
      <c r="N77" s="9"/>
      <c r="O77" s="9" t="s">
        <v>25</v>
      </c>
      <c r="P77" s="10" t="s">
        <v>404</v>
      </c>
      <c r="Q77" s="5"/>
      <c r="R77" s="17"/>
    </row>
    <row r="78" spans="1:18">
      <c r="A78" s="121">
        <v>75</v>
      </c>
      <c r="B78" s="101">
        <v>120171</v>
      </c>
      <c r="C78" s="18" t="s">
        <v>147</v>
      </c>
      <c r="D78" s="18" t="s">
        <v>27</v>
      </c>
      <c r="E78" s="19" t="s">
        <v>126</v>
      </c>
      <c r="F78" s="4">
        <v>43166</v>
      </c>
      <c r="G78" s="6">
        <v>33244</v>
      </c>
      <c r="H78" s="7" t="str">
        <f t="shared" ca="1" si="1"/>
        <v>35Y</v>
      </c>
      <c r="I78" s="8" t="s">
        <v>28</v>
      </c>
      <c r="J78" s="8" t="s">
        <v>29</v>
      </c>
      <c r="K78" s="15">
        <v>1310900102123</v>
      </c>
      <c r="L78" s="16">
        <v>933235615</v>
      </c>
      <c r="M78" s="5">
        <v>4089623544</v>
      </c>
      <c r="N78" s="9" t="s">
        <v>30</v>
      </c>
      <c r="O78" s="9" t="s">
        <v>31</v>
      </c>
      <c r="P78" s="10" t="s">
        <v>32</v>
      </c>
      <c r="Q78" s="5"/>
      <c r="R78" s="17"/>
    </row>
    <row r="79" spans="1:18" ht="46.5">
      <c r="A79" s="96">
        <v>76</v>
      </c>
      <c r="B79" s="101">
        <v>120628</v>
      </c>
      <c r="C79" s="18" t="s">
        <v>148</v>
      </c>
      <c r="D79" s="18" t="s">
        <v>27</v>
      </c>
      <c r="E79" s="19" t="s">
        <v>126</v>
      </c>
      <c r="F79" s="4">
        <v>44958</v>
      </c>
      <c r="G79" s="6">
        <v>23692</v>
      </c>
      <c r="H79" s="7" t="str">
        <f t="shared" ca="1" si="1"/>
        <v>62Y</v>
      </c>
      <c r="I79" s="8" t="s">
        <v>28</v>
      </c>
      <c r="J79" s="8" t="s">
        <v>29</v>
      </c>
      <c r="K79" s="15">
        <v>3320400116075</v>
      </c>
      <c r="L79" s="16">
        <v>971533338</v>
      </c>
      <c r="M79" s="5">
        <v>4064404923</v>
      </c>
      <c r="N79" s="9" t="s">
        <v>30</v>
      </c>
      <c r="O79" s="9" t="s">
        <v>62</v>
      </c>
      <c r="P79" s="10" t="s">
        <v>404</v>
      </c>
      <c r="Q79" s="5"/>
      <c r="R79" s="17"/>
    </row>
    <row r="80" spans="1:18">
      <c r="A80" s="121">
        <v>77</v>
      </c>
      <c r="B80" s="89">
        <v>220340</v>
      </c>
      <c r="C80" s="18" t="s">
        <v>149</v>
      </c>
      <c r="D80" s="18" t="s">
        <v>27</v>
      </c>
      <c r="E80" s="19" t="s">
        <v>126</v>
      </c>
      <c r="F80" s="4">
        <v>44984</v>
      </c>
      <c r="G80" s="6">
        <v>36590</v>
      </c>
      <c r="H80" s="7" t="str">
        <f t="shared" ca="1" si="1"/>
        <v>26Y</v>
      </c>
      <c r="I80" s="8" t="s">
        <v>28</v>
      </c>
      <c r="J80" s="8" t="s">
        <v>23</v>
      </c>
      <c r="K80" s="15">
        <v>6672170007556</v>
      </c>
      <c r="L80" s="16">
        <v>809655486</v>
      </c>
      <c r="M80" s="5"/>
      <c r="N80" s="9"/>
      <c r="O80" s="9" t="s">
        <v>31</v>
      </c>
      <c r="P80" s="10" t="s">
        <v>32</v>
      </c>
      <c r="Q80" s="5"/>
      <c r="R80" s="17"/>
    </row>
    <row r="81" spans="1:18" ht="46.5">
      <c r="A81" s="96">
        <v>78</v>
      </c>
      <c r="B81" s="91">
        <v>320952</v>
      </c>
      <c r="C81" s="20" t="s">
        <v>150</v>
      </c>
      <c r="D81" s="18" t="s">
        <v>27</v>
      </c>
      <c r="E81" s="22" t="s">
        <v>126</v>
      </c>
      <c r="F81" s="4">
        <v>45885</v>
      </c>
      <c r="G81" s="6">
        <v>36390</v>
      </c>
      <c r="H81" s="7" t="str">
        <f t="shared" ca="1" si="1"/>
        <v>27Y</v>
      </c>
      <c r="I81" s="8" t="s">
        <v>28</v>
      </c>
      <c r="J81" s="8" t="s">
        <v>151</v>
      </c>
      <c r="K81" s="15">
        <v>7464112054575</v>
      </c>
      <c r="L81" s="16">
        <v>962162189</v>
      </c>
      <c r="M81" s="5"/>
      <c r="N81" s="9"/>
      <c r="O81" s="9" t="s">
        <v>25</v>
      </c>
      <c r="P81" s="10"/>
      <c r="Q81" s="5"/>
      <c r="R81" s="17"/>
    </row>
    <row r="82" spans="1:18" ht="46.5">
      <c r="A82" s="121">
        <v>79</v>
      </c>
      <c r="B82" s="92">
        <v>221020</v>
      </c>
      <c r="C82" s="18" t="s">
        <v>152</v>
      </c>
      <c r="D82" s="18" t="s">
        <v>27</v>
      </c>
      <c r="E82" s="19" t="s">
        <v>126</v>
      </c>
      <c r="F82" s="4">
        <v>45708</v>
      </c>
      <c r="G82" s="6">
        <v>31809</v>
      </c>
      <c r="H82" s="7" t="str">
        <f t="shared" ca="1" si="1"/>
        <v>39Y</v>
      </c>
      <c r="I82" s="8" t="s">
        <v>28</v>
      </c>
      <c r="J82" s="8" t="s">
        <v>23</v>
      </c>
      <c r="K82" s="15">
        <v>21011526760</v>
      </c>
      <c r="L82" s="16">
        <v>819644083</v>
      </c>
      <c r="M82" s="5">
        <v>4321751972</v>
      </c>
      <c r="N82" s="9" t="s">
        <v>30</v>
      </c>
      <c r="O82" s="9" t="s">
        <v>25</v>
      </c>
      <c r="P82" s="10"/>
      <c r="Q82" s="5"/>
      <c r="R82" s="17"/>
    </row>
    <row r="83" spans="1:18" ht="46.5">
      <c r="A83" s="96">
        <v>80</v>
      </c>
      <c r="B83" s="89">
        <v>221303</v>
      </c>
      <c r="C83" s="18" t="s">
        <v>405</v>
      </c>
      <c r="D83" s="18" t="s">
        <v>27</v>
      </c>
      <c r="E83" s="19" t="s">
        <v>126</v>
      </c>
      <c r="F83" s="4">
        <v>43825</v>
      </c>
      <c r="G83" s="6">
        <v>37143</v>
      </c>
      <c r="H83" s="7" t="str">
        <f t="shared" ca="1" si="1"/>
        <v>25Y</v>
      </c>
      <c r="I83" s="8" t="s">
        <v>28</v>
      </c>
      <c r="J83" s="8" t="s">
        <v>23</v>
      </c>
      <c r="K83" s="15">
        <v>2100642005253</v>
      </c>
      <c r="L83" s="16">
        <v>943159749</v>
      </c>
      <c r="M83" s="5"/>
      <c r="N83" s="9"/>
      <c r="O83" s="9" t="s">
        <v>25</v>
      </c>
      <c r="P83" s="10"/>
      <c r="Q83" s="5"/>
      <c r="R83" s="17"/>
    </row>
    <row r="84" spans="1:18">
      <c r="A84" s="121">
        <v>81</v>
      </c>
      <c r="B84" s="101">
        <v>121305</v>
      </c>
      <c r="C84" s="18" t="s">
        <v>153</v>
      </c>
      <c r="D84" s="18" t="s">
        <v>27</v>
      </c>
      <c r="E84" s="19" t="s">
        <v>126</v>
      </c>
      <c r="F84" s="4">
        <v>46253</v>
      </c>
      <c r="G84" s="6">
        <v>23651</v>
      </c>
      <c r="H84" s="7" t="str">
        <f t="shared" ca="1" si="1"/>
        <v>62Y</v>
      </c>
      <c r="I84" s="8" t="s">
        <v>28</v>
      </c>
      <c r="J84" s="8" t="s">
        <v>29</v>
      </c>
      <c r="K84" s="15">
        <v>5550500364300</v>
      </c>
      <c r="L84" s="16">
        <v>661136636</v>
      </c>
      <c r="M84" s="5"/>
      <c r="N84" s="9"/>
      <c r="O84" s="9"/>
      <c r="P84" s="10"/>
      <c r="Q84" s="5"/>
      <c r="R84" s="17"/>
    </row>
    <row r="85" spans="1:18">
      <c r="A85" s="96">
        <v>82</v>
      </c>
      <c r="B85" s="92">
        <v>220810</v>
      </c>
      <c r="C85" s="18" t="s">
        <v>154</v>
      </c>
      <c r="D85" s="18" t="s">
        <v>27</v>
      </c>
      <c r="E85" s="19" t="s">
        <v>126</v>
      </c>
      <c r="F85" s="4">
        <v>45434</v>
      </c>
      <c r="G85" s="6">
        <v>30932</v>
      </c>
      <c r="H85" s="7" t="str">
        <f t="shared" ca="1" si="1"/>
        <v>42Y</v>
      </c>
      <c r="I85" s="8" t="s">
        <v>28</v>
      </c>
      <c r="J85" s="8" t="s">
        <v>23</v>
      </c>
      <c r="K85" s="15">
        <v>6682100003904</v>
      </c>
      <c r="L85" s="16">
        <v>630072566</v>
      </c>
      <c r="M85" s="5"/>
      <c r="N85" s="9"/>
      <c r="O85" s="9" t="s">
        <v>31</v>
      </c>
      <c r="P85" s="10" t="s">
        <v>404</v>
      </c>
      <c r="Q85" s="5"/>
      <c r="R85" s="17"/>
    </row>
    <row r="86" spans="1:18">
      <c r="A86" s="121">
        <v>83</v>
      </c>
      <c r="B86" s="89">
        <v>220040</v>
      </c>
      <c r="C86" s="18" t="s">
        <v>155</v>
      </c>
      <c r="D86" s="18" t="s">
        <v>27</v>
      </c>
      <c r="E86" s="19" t="s">
        <v>126</v>
      </c>
      <c r="F86" s="4">
        <v>42177</v>
      </c>
      <c r="G86" s="6">
        <v>29591</v>
      </c>
      <c r="H86" s="7" t="str">
        <f t="shared" ca="1" si="1"/>
        <v>45Y</v>
      </c>
      <c r="I86" s="8" t="s">
        <v>28</v>
      </c>
      <c r="J86" s="8" t="s">
        <v>23</v>
      </c>
      <c r="K86" s="15">
        <v>2100642005259</v>
      </c>
      <c r="L86" s="16">
        <v>661575415</v>
      </c>
      <c r="M86" s="5"/>
      <c r="N86" s="9"/>
      <c r="O86" s="9" t="s">
        <v>31</v>
      </c>
      <c r="P86" s="10" t="s">
        <v>404</v>
      </c>
      <c r="Q86" s="5"/>
      <c r="R86" s="17"/>
    </row>
    <row r="87" spans="1:18">
      <c r="A87" s="96">
        <v>84</v>
      </c>
      <c r="B87" s="89">
        <v>220169</v>
      </c>
      <c r="C87" s="18" t="s">
        <v>156</v>
      </c>
      <c r="D87" s="18" t="s">
        <v>27</v>
      </c>
      <c r="E87" s="19" t="s">
        <v>126</v>
      </c>
      <c r="F87" s="4">
        <v>43147</v>
      </c>
      <c r="G87" s="6">
        <v>27312</v>
      </c>
      <c r="H87" s="7" t="str">
        <f t="shared" ca="1" si="1"/>
        <v>52Y</v>
      </c>
      <c r="I87" s="8" t="s">
        <v>28</v>
      </c>
      <c r="J87" s="8" t="s">
        <v>23</v>
      </c>
      <c r="K87" s="15">
        <v>2100642005263</v>
      </c>
      <c r="L87" s="16">
        <v>667137603</v>
      </c>
      <c r="M87" s="5"/>
      <c r="N87" s="9"/>
      <c r="O87" s="9" t="s">
        <v>31</v>
      </c>
      <c r="P87" s="10" t="s">
        <v>404</v>
      </c>
      <c r="Q87" s="5"/>
      <c r="R87" s="17"/>
    </row>
    <row r="88" spans="1:18" ht="46.5">
      <c r="A88" s="121">
        <v>85</v>
      </c>
      <c r="B88" s="101">
        <v>120058</v>
      </c>
      <c r="C88" s="18" t="s">
        <v>157</v>
      </c>
      <c r="D88" s="18" t="s">
        <v>27</v>
      </c>
      <c r="E88" s="19" t="s">
        <v>126</v>
      </c>
      <c r="F88" s="4">
        <v>43691</v>
      </c>
      <c r="G88" s="6">
        <v>22421</v>
      </c>
      <c r="H88" s="7" t="str">
        <f t="shared" ca="1" si="1"/>
        <v>65Y</v>
      </c>
      <c r="I88" s="8" t="s">
        <v>28</v>
      </c>
      <c r="J88" s="8" t="s">
        <v>29</v>
      </c>
      <c r="K88" s="15">
        <v>3410400222605</v>
      </c>
      <c r="L88" s="16">
        <v>649652208</v>
      </c>
      <c r="M88" s="5">
        <v>4036948262</v>
      </c>
      <c r="N88" s="9" t="s">
        <v>30</v>
      </c>
      <c r="O88" s="9" t="s">
        <v>62</v>
      </c>
      <c r="P88" s="10" t="s">
        <v>404</v>
      </c>
      <c r="Q88" s="5"/>
      <c r="R88" s="17"/>
    </row>
    <row r="89" spans="1:18">
      <c r="A89" s="96">
        <v>86</v>
      </c>
      <c r="B89" s="90">
        <v>220743</v>
      </c>
      <c r="C89" s="20" t="s">
        <v>158</v>
      </c>
      <c r="D89" s="18" t="s">
        <v>159</v>
      </c>
      <c r="E89" s="19" t="s">
        <v>126</v>
      </c>
      <c r="F89" s="4">
        <v>45251</v>
      </c>
      <c r="G89" s="6">
        <v>28532</v>
      </c>
      <c r="H89" s="7" t="str">
        <f t="shared" ca="1" si="1"/>
        <v>48Y</v>
      </c>
      <c r="I89" s="8" t="s">
        <v>28</v>
      </c>
      <c r="J89" s="8" t="s">
        <v>23</v>
      </c>
      <c r="K89" s="15">
        <v>6682100031041</v>
      </c>
      <c r="L89" s="16"/>
      <c r="M89" s="5"/>
      <c r="N89" s="9"/>
      <c r="O89" s="9" t="s">
        <v>31</v>
      </c>
      <c r="P89" s="10" t="s">
        <v>32</v>
      </c>
      <c r="Q89" s="5"/>
      <c r="R89" s="17"/>
    </row>
    <row r="90" spans="1:18" ht="46.5">
      <c r="A90" s="121">
        <v>87</v>
      </c>
      <c r="B90" s="91">
        <v>321093</v>
      </c>
      <c r="C90" s="20" t="s">
        <v>160</v>
      </c>
      <c r="D90" s="21" t="s">
        <v>159</v>
      </c>
      <c r="E90" s="22" t="s">
        <v>126</v>
      </c>
      <c r="F90" s="4">
        <v>46169</v>
      </c>
      <c r="G90" s="6">
        <v>36119</v>
      </c>
      <c r="H90" s="144" t="str">
        <f t="shared" ca="1" si="1"/>
        <v>28Y</v>
      </c>
      <c r="I90" s="121" t="s">
        <v>28</v>
      </c>
      <c r="J90" s="121" t="s">
        <v>151</v>
      </c>
      <c r="K90" s="129">
        <v>6681170034030</v>
      </c>
      <c r="L90" s="151"/>
      <c r="M90" s="96"/>
      <c r="N90" s="148"/>
      <c r="O90" s="148" t="s">
        <v>25</v>
      </c>
      <c r="P90" s="149"/>
      <c r="Q90" s="96"/>
      <c r="R90" s="152"/>
    </row>
    <row r="91" spans="1:18" ht="46.5">
      <c r="A91" s="96">
        <v>88</v>
      </c>
      <c r="B91" s="101">
        <v>120157</v>
      </c>
      <c r="C91" s="18" t="s">
        <v>161</v>
      </c>
      <c r="D91" s="18" t="s">
        <v>43</v>
      </c>
      <c r="E91" s="19" t="s">
        <v>126</v>
      </c>
      <c r="F91" s="4">
        <v>43030</v>
      </c>
      <c r="G91" s="6">
        <v>29437</v>
      </c>
      <c r="H91" s="7" t="str">
        <f t="shared" ca="1" si="1"/>
        <v>46Y</v>
      </c>
      <c r="I91" s="8" t="s">
        <v>28</v>
      </c>
      <c r="J91" s="8" t="s">
        <v>29</v>
      </c>
      <c r="K91" s="15">
        <v>4250500004278</v>
      </c>
      <c r="L91" s="16">
        <v>924787940</v>
      </c>
      <c r="M91" s="5">
        <v>4083123350</v>
      </c>
      <c r="N91" s="9" t="s">
        <v>30</v>
      </c>
      <c r="O91" s="9" t="s">
        <v>31</v>
      </c>
      <c r="P91" s="10" t="s">
        <v>403</v>
      </c>
      <c r="Q91" s="5"/>
      <c r="R91" s="17"/>
    </row>
    <row r="92" spans="1:18" ht="46.5">
      <c r="A92" s="121">
        <v>89</v>
      </c>
      <c r="B92" s="104">
        <v>120042</v>
      </c>
      <c r="C92" s="18" t="s">
        <v>162</v>
      </c>
      <c r="D92" s="18" t="s">
        <v>27</v>
      </c>
      <c r="E92" s="19" t="s">
        <v>163</v>
      </c>
      <c r="F92" s="4">
        <v>46064</v>
      </c>
      <c r="G92" s="6">
        <v>23856</v>
      </c>
      <c r="H92" s="7" t="str">
        <f t="shared" ca="1" si="1"/>
        <v>61Y</v>
      </c>
      <c r="I92" s="8" t="s">
        <v>28</v>
      </c>
      <c r="J92" s="8" t="s">
        <v>29</v>
      </c>
      <c r="K92" s="15">
        <v>3160100820801</v>
      </c>
      <c r="L92" s="16">
        <v>924505474</v>
      </c>
      <c r="M92" s="5"/>
      <c r="N92" s="9"/>
      <c r="O92" s="9" t="s">
        <v>62</v>
      </c>
      <c r="P92" s="10"/>
      <c r="Q92" s="5"/>
      <c r="R92" s="17"/>
    </row>
    <row r="93" spans="1:18" ht="46.5">
      <c r="A93" s="96">
        <v>90</v>
      </c>
      <c r="B93" s="104">
        <v>121043</v>
      </c>
      <c r="C93" s="21" t="s">
        <v>164</v>
      </c>
      <c r="D93" s="18" t="s">
        <v>27</v>
      </c>
      <c r="E93" s="19" t="s">
        <v>163</v>
      </c>
      <c r="F93" s="4">
        <v>46064</v>
      </c>
      <c r="G93" s="6">
        <v>28950</v>
      </c>
      <c r="H93" s="7" t="str">
        <f t="shared" ca="1" si="1"/>
        <v>47Y</v>
      </c>
      <c r="I93" s="8" t="s">
        <v>28</v>
      </c>
      <c r="J93" s="8" t="s">
        <v>29</v>
      </c>
      <c r="K93" s="15">
        <v>2360400020541</v>
      </c>
      <c r="L93" s="16">
        <v>861552530</v>
      </c>
      <c r="M93" s="5">
        <v>6532811436</v>
      </c>
      <c r="N93" s="9" t="s">
        <v>30</v>
      </c>
      <c r="O93" s="9" t="s">
        <v>31</v>
      </c>
      <c r="P93" s="10" t="s">
        <v>398</v>
      </c>
      <c r="Q93" s="5"/>
      <c r="R93" s="17"/>
    </row>
    <row r="94" spans="1:18" ht="46.5">
      <c r="A94" s="121">
        <v>91</v>
      </c>
      <c r="B94" s="104">
        <v>121044</v>
      </c>
      <c r="C94" s="21" t="s">
        <v>165</v>
      </c>
      <c r="D94" s="18" t="s">
        <v>27</v>
      </c>
      <c r="E94" s="19" t="s">
        <v>163</v>
      </c>
      <c r="F94" s="4">
        <v>46082</v>
      </c>
      <c r="G94" s="6">
        <v>31014</v>
      </c>
      <c r="H94" s="7" t="str">
        <f t="shared" ca="1" si="1"/>
        <v>42Y</v>
      </c>
      <c r="I94" s="8" t="s">
        <v>28</v>
      </c>
      <c r="J94" s="8" t="s">
        <v>29</v>
      </c>
      <c r="K94" s="15">
        <v>1411890000927</v>
      </c>
      <c r="L94" s="16">
        <v>621178393</v>
      </c>
      <c r="M94" s="5">
        <v>6884264270</v>
      </c>
      <c r="N94" s="9" t="s">
        <v>30</v>
      </c>
      <c r="O94" s="9" t="s">
        <v>31</v>
      </c>
      <c r="P94" s="10" t="s">
        <v>398</v>
      </c>
      <c r="Q94" s="5"/>
      <c r="R94" s="17"/>
    </row>
    <row r="95" spans="1:18" ht="46.5">
      <c r="A95" s="96">
        <v>92</v>
      </c>
      <c r="B95" s="104">
        <v>121074</v>
      </c>
      <c r="C95" s="18" t="s">
        <v>166</v>
      </c>
      <c r="D95" s="18" t="s">
        <v>27</v>
      </c>
      <c r="E95" s="19" t="s">
        <v>163</v>
      </c>
      <c r="F95" s="4">
        <v>46133</v>
      </c>
      <c r="G95" s="6">
        <v>28535</v>
      </c>
      <c r="H95" s="7" t="str">
        <f t="shared" ca="1" si="1"/>
        <v>48Y</v>
      </c>
      <c r="I95" s="8" t="s">
        <v>28</v>
      </c>
      <c r="J95" s="8" t="s">
        <v>29</v>
      </c>
      <c r="K95" s="15">
        <v>4300300008970</v>
      </c>
      <c r="L95" s="16">
        <v>927482602</v>
      </c>
      <c r="M95" s="5">
        <v>4280738401</v>
      </c>
      <c r="N95" s="9" t="s">
        <v>30</v>
      </c>
      <c r="O95" s="9" t="s">
        <v>31</v>
      </c>
      <c r="P95" s="10" t="s">
        <v>398</v>
      </c>
      <c r="Q95" s="5"/>
      <c r="R95" s="17"/>
    </row>
    <row r="96" spans="1:18">
      <c r="A96" s="121">
        <v>93</v>
      </c>
      <c r="B96" s="104">
        <v>121059</v>
      </c>
      <c r="C96" s="21" t="s">
        <v>167</v>
      </c>
      <c r="D96" s="18" t="s">
        <v>27</v>
      </c>
      <c r="E96" s="19" t="s">
        <v>163</v>
      </c>
      <c r="F96" s="4">
        <v>46112</v>
      </c>
      <c r="G96" s="6">
        <v>28508</v>
      </c>
      <c r="H96" s="7" t="str">
        <f t="shared" ca="1" si="1"/>
        <v>48Y</v>
      </c>
      <c r="I96" s="8" t="s">
        <v>28</v>
      </c>
      <c r="J96" s="8" t="s">
        <v>29</v>
      </c>
      <c r="K96" s="15">
        <v>3620300386582</v>
      </c>
      <c r="L96" s="16">
        <v>957125574</v>
      </c>
      <c r="M96" s="5">
        <v>8712218507</v>
      </c>
      <c r="N96" s="9" t="s">
        <v>30</v>
      </c>
      <c r="O96" s="9" t="s">
        <v>31</v>
      </c>
      <c r="P96" s="10"/>
      <c r="Q96" s="5"/>
      <c r="R96" s="17"/>
    </row>
    <row r="97" spans="1:18" ht="46.5">
      <c r="A97" s="96">
        <v>94</v>
      </c>
      <c r="B97" s="104">
        <v>121024</v>
      </c>
      <c r="C97" s="21" t="s">
        <v>168</v>
      </c>
      <c r="D97" s="18" t="s">
        <v>27</v>
      </c>
      <c r="E97" s="19" t="s">
        <v>163</v>
      </c>
      <c r="F97" s="4">
        <v>46057</v>
      </c>
      <c r="G97" s="6">
        <v>34803</v>
      </c>
      <c r="H97" s="7" t="str">
        <f t="shared" ca="1" si="1"/>
        <v>31Y</v>
      </c>
      <c r="I97" s="8" t="s">
        <v>28</v>
      </c>
      <c r="J97" s="8" t="s">
        <v>29</v>
      </c>
      <c r="K97" s="15">
        <v>1342900004921</v>
      </c>
      <c r="L97" s="16">
        <v>828196452</v>
      </c>
      <c r="M97" s="5">
        <v>4362341764</v>
      </c>
      <c r="N97" s="9" t="s">
        <v>30</v>
      </c>
      <c r="O97" s="9" t="s">
        <v>31</v>
      </c>
      <c r="P97" s="10" t="s">
        <v>37</v>
      </c>
      <c r="Q97" s="5"/>
      <c r="R97" s="17"/>
    </row>
    <row r="98" spans="1:18">
      <c r="A98" s="121">
        <v>95</v>
      </c>
      <c r="B98" s="104">
        <v>111079</v>
      </c>
      <c r="C98" s="18" t="s">
        <v>169</v>
      </c>
      <c r="D98" s="18" t="s">
        <v>170</v>
      </c>
      <c r="E98" s="19" t="s">
        <v>171</v>
      </c>
      <c r="F98" s="4">
        <v>46157</v>
      </c>
      <c r="G98" s="6">
        <v>31930</v>
      </c>
      <c r="H98" s="7" t="str">
        <f t="shared" ca="1" si="1"/>
        <v>39Y</v>
      </c>
      <c r="I98" s="8" t="s">
        <v>22</v>
      </c>
      <c r="J98" s="8" t="s">
        <v>29</v>
      </c>
      <c r="K98" s="15">
        <v>1300700089069</v>
      </c>
      <c r="L98" s="16">
        <v>985108467</v>
      </c>
      <c r="M98" s="5"/>
      <c r="N98" s="9"/>
      <c r="O98" s="9"/>
      <c r="P98" s="10"/>
      <c r="Q98" s="5"/>
      <c r="R98" s="17"/>
    </row>
    <row r="99" spans="1:18">
      <c r="A99" s="96">
        <v>96</v>
      </c>
      <c r="B99" s="104">
        <v>121032</v>
      </c>
      <c r="C99" s="18" t="s">
        <v>172</v>
      </c>
      <c r="D99" s="18" t="s">
        <v>27</v>
      </c>
      <c r="E99" s="19" t="s">
        <v>171</v>
      </c>
      <c r="F99" s="4">
        <v>46082</v>
      </c>
      <c r="G99" s="6">
        <v>30651</v>
      </c>
      <c r="H99" s="7" t="str">
        <f t="shared" ca="1" si="1"/>
        <v>43Y</v>
      </c>
      <c r="I99" s="8" t="s">
        <v>28</v>
      </c>
      <c r="J99" s="8" t="s">
        <v>29</v>
      </c>
      <c r="K99" s="15">
        <v>3330800060204</v>
      </c>
      <c r="L99" s="16">
        <v>801853124</v>
      </c>
      <c r="M99" s="5"/>
      <c r="N99" s="9"/>
      <c r="O99" s="9" t="s">
        <v>31</v>
      </c>
      <c r="P99" s="10"/>
      <c r="Q99" s="5"/>
      <c r="R99" s="17"/>
    </row>
    <row r="100" spans="1:18">
      <c r="A100" s="121">
        <v>97</v>
      </c>
      <c r="B100" s="104">
        <v>121033</v>
      </c>
      <c r="C100" s="18" t="s">
        <v>173</v>
      </c>
      <c r="D100" s="18" t="s">
        <v>27</v>
      </c>
      <c r="E100" s="19" t="s">
        <v>171</v>
      </c>
      <c r="F100" s="4">
        <v>46064</v>
      </c>
      <c r="G100" s="6">
        <v>24321</v>
      </c>
      <c r="H100" s="7" t="str">
        <f t="shared" ca="1" si="1"/>
        <v>60Y</v>
      </c>
      <c r="I100" s="8" t="s">
        <v>28</v>
      </c>
      <c r="J100" s="8" t="s">
        <v>29</v>
      </c>
      <c r="K100" s="15">
        <v>3640600251712</v>
      </c>
      <c r="L100" s="16">
        <v>951634937</v>
      </c>
      <c r="M100" s="5">
        <v>4112591640</v>
      </c>
      <c r="N100" s="9" t="s">
        <v>30</v>
      </c>
      <c r="O100" s="9" t="s">
        <v>31</v>
      </c>
      <c r="P100" s="10"/>
      <c r="Q100" s="5"/>
      <c r="R100" s="17"/>
    </row>
    <row r="101" spans="1:18">
      <c r="A101" s="96">
        <v>98</v>
      </c>
      <c r="B101" s="104">
        <v>121035</v>
      </c>
      <c r="C101" s="18" t="s">
        <v>174</v>
      </c>
      <c r="D101" s="18" t="s">
        <v>27</v>
      </c>
      <c r="E101" s="19" t="s">
        <v>171</v>
      </c>
      <c r="F101" s="4">
        <v>46082</v>
      </c>
      <c r="G101" s="6">
        <v>28590</v>
      </c>
      <c r="H101" s="7" t="str">
        <f t="shared" ca="1" si="1"/>
        <v>48Y</v>
      </c>
      <c r="I101" s="8" t="s">
        <v>28</v>
      </c>
      <c r="J101" s="8" t="s">
        <v>29</v>
      </c>
      <c r="K101" s="15">
        <v>3430300690623</v>
      </c>
      <c r="L101" s="16">
        <v>641932619</v>
      </c>
      <c r="M101" s="5">
        <v>4112598359</v>
      </c>
      <c r="N101" s="9" t="s">
        <v>30</v>
      </c>
      <c r="O101" s="9" t="s">
        <v>31</v>
      </c>
      <c r="P101" s="10"/>
      <c r="Q101" s="5"/>
      <c r="R101" s="17"/>
    </row>
    <row r="102" spans="1:18">
      <c r="A102" s="121">
        <v>99</v>
      </c>
      <c r="B102" s="104">
        <v>121036</v>
      </c>
      <c r="C102" s="18" t="s">
        <v>175</v>
      </c>
      <c r="D102" s="18" t="s">
        <v>27</v>
      </c>
      <c r="E102" s="19" t="s">
        <v>171</v>
      </c>
      <c r="F102" s="4">
        <v>46082</v>
      </c>
      <c r="G102" s="6">
        <v>32990</v>
      </c>
      <c r="H102" s="7" t="str">
        <f t="shared" ca="1" si="1"/>
        <v>36Y</v>
      </c>
      <c r="I102" s="8" t="s">
        <v>28</v>
      </c>
      <c r="J102" s="8" t="s">
        <v>29</v>
      </c>
      <c r="K102" s="15">
        <v>1400600125186</v>
      </c>
      <c r="L102" s="16">
        <v>824586323</v>
      </c>
      <c r="M102" s="5">
        <v>4332274191</v>
      </c>
      <c r="N102" s="9" t="s">
        <v>30</v>
      </c>
      <c r="O102" s="9" t="s">
        <v>31</v>
      </c>
      <c r="P102" s="10"/>
      <c r="Q102" s="5"/>
      <c r="R102" s="17"/>
    </row>
    <row r="103" spans="1:18">
      <c r="A103" s="96">
        <v>100</v>
      </c>
      <c r="B103" s="104">
        <v>121037</v>
      </c>
      <c r="C103" s="18" t="s">
        <v>176</v>
      </c>
      <c r="D103" s="18" t="s">
        <v>27</v>
      </c>
      <c r="E103" s="19" t="s">
        <v>171</v>
      </c>
      <c r="F103" s="4">
        <v>46064</v>
      </c>
      <c r="G103" s="6">
        <v>27213</v>
      </c>
      <c r="H103" s="7" t="str">
        <f t="shared" ca="1" si="1"/>
        <v>52Y</v>
      </c>
      <c r="I103" s="8" t="s">
        <v>28</v>
      </c>
      <c r="J103" s="8" t="s">
        <v>29</v>
      </c>
      <c r="K103" s="15">
        <v>3200700418850</v>
      </c>
      <c r="L103" s="16">
        <v>842580584</v>
      </c>
      <c r="M103" s="5">
        <v>4088081511</v>
      </c>
      <c r="N103" s="9" t="s">
        <v>30</v>
      </c>
      <c r="O103" s="9" t="s">
        <v>31</v>
      </c>
      <c r="P103" s="10"/>
      <c r="Q103" s="5"/>
      <c r="R103" s="17"/>
    </row>
    <row r="104" spans="1:18">
      <c r="A104" s="121">
        <v>101</v>
      </c>
      <c r="B104" s="104">
        <v>121038</v>
      </c>
      <c r="C104" s="18" t="s">
        <v>177</v>
      </c>
      <c r="D104" s="18" t="s">
        <v>27</v>
      </c>
      <c r="E104" s="19" t="s">
        <v>171</v>
      </c>
      <c r="F104" s="4">
        <v>46064</v>
      </c>
      <c r="G104" s="6">
        <v>25422</v>
      </c>
      <c r="H104" s="7" t="str">
        <f t="shared" ca="1" si="1"/>
        <v>57Y</v>
      </c>
      <c r="I104" s="8" t="s">
        <v>28</v>
      </c>
      <c r="J104" s="8" t="s">
        <v>29</v>
      </c>
      <c r="K104" s="15">
        <v>3600800048511</v>
      </c>
      <c r="L104" s="16">
        <v>971564403</v>
      </c>
      <c r="M104" s="5">
        <v>4292224309</v>
      </c>
      <c r="N104" s="9" t="s">
        <v>30</v>
      </c>
      <c r="O104" s="9" t="s">
        <v>31</v>
      </c>
      <c r="P104" s="10"/>
      <c r="Q104" s="5"/>
      <c r="R104" s="17"/>
    </row>
    <row r="105" spans="1:18" ht="46.5">
      <c r="A105" s="96">
        <v>102</v>
      </c>
      <c r="B105" s="104">
        <v>121096</v>
      </c>
      <c r="C105" s="18" t="s">
        <v>178</v>
      </c>
      <c r="D105" s="18" t="s">
        <v>27</v>
      </c>
      <c r="E105" s="19" t="s">
        <v>171</v>
      </c>
      <c r="F105" s="4">
        <v>46164</v>
      </c>
      <c r="G105" s="6">
        <v>29131</v>
      </c>
      <c r="H105" s="7" t="str">
        <f t="shared" ca="1" si="1"/>
        <v>47Y</v>
      </c>
      <c r="I105" s="8" t="s">
        <v>28</v>
      </c>
      <c r="J105" s="8" t="s">
        <v>29</v>
      </c>
      <c r="K105" s="15">
        <v>3340800282282</v>
      </c>
      <c r="L105" s="16">
        <v>989210589</v>
      </c>
      <c r="M105" s="5">
        <v>4280859493</v>
      </c>
      <c r="N105" s="9" t="s">
        <v>30</v>
      </c>
      <c r="O105" s="9" t="s">
        <v>31</v>
      </c>
      <c r="P105" s="10" t="s">
        <v>37</v>
      </c>
      <c r="Q105" s="5"/>
      <c r="R105" s="17"/>
    </row>
    <row r="106" spans="1:18" ht="46.5">
      <c r="A106" s="121">
        <v>103</v>
      </c>
      <c r="B106" s="104">
        <v>121202</v>
      </c>
      <c r="C106" s="18" t="s">
        <v>179</v>
      </c>
      <c r="D106" s="18" t="s">
        <v>27</v>
      </c>
      <c r="E106" s="19" t="s">
        <v>180</v>
      </c>
      <c r="F106" s="4">
        <v>46235</v>
      </c>
      <c r="G106" s="6">
        <v>24840</v>
      </c>
      <c r="H106" s="7" t="str">
        <f t="shared" ca="1" si="1"/>
        <v>58Y</v>
      </c>
      <c r="I106" s="8" t="s">
        <v>28</v>
      </c>
      <c r="J106" s="8" t="s">
        <v>29</v>
      </c>
      <c r="K106" s="15">
        <v>3301400156621</v>
      </c>
      <c r="L106" s="16">
        <v>649519003</v>
      </c>
      <c r="M106" s="5">
        <v>9912737975</v>
      </c>
      <c r="N106" s="9" t="s">
        <v>30</v>
      </c>
      <c r="O106" s="9" t="s">
        <v>31</v>
      </c>
      <c r="P106" s="10" t="s">
        <v>44</v>
      </c>
      <c r="Q106" s="5"/>
      <c r="R106" s="17" t="s">
        <v>181</v>
      </c>
    </row>
    <row r="107" spans="1:18" ht="46.5">
      <c r="A107" s="96">
        <v>104</v>
      </c>
      <c r="B107" s="104">
        <v>121203</v>
      </c>
      <c r="C107" s="18" t="s">
        <v>182</v>
      </c>
      <c r="D107" s="18" t="s">
        <v>27</v>
      </c>
      <c r="E107" s="19" t="s">
        <v>180</v>
      </c>
      <c r="F107" s="4">
        <v>46235</v>
      </c>
      <c r="G107" s="6">
        <v>25009</v>
      </c>
      <c r="H107" s="7" t="str">
        <f t="shared" ref="H107:H155" ca="1" si="2">YEAR(TODAY())-YEAR(G107)&amp;"Y"</f>
        <v>58Y</v>
      </c>
      <c r="I107" s="8" t="s">
        <v>28</v>
      </c>
      <c r="J107" s="8" t="s">
        <v>29</v>
      </c>
      <c r="K107" s="15">
        <v>3330300263122</v>
      </c>
      <c r="L107" s="16">
        <v>628762826</v>
      </c>
      <c r="M107" s="5">
        <v>8942598442</v>
      </c>
      <c r="N107" s="9" t="s">
        <v>30</v>
      </c>
      <c r="O107" s="9" t="s">
        <v>31</v>
      </c>
      <c r="P107" s="10" t="s">
        <v>37</v>
      </c>
      <c r="Q107" s="5"/>
      <c r="R107" s="17" t="s">
        <v>183</v>
      </c>
    </row>
    <row r="108" spans="1:18" ht="46.5">
      <c r="A108" s="121">
        <v>105</v>
      </c>
      <c r="B108" s="104">
        <v>121204</v>
      </c>
      <c r="C108" s="18" t="s">
        <v>184</v>
      </c>
      <c r="D108" s="18" t="s">
        <v>27</v>
      </c>
      <c r="E108" s="19" t="s">
        <v>180</v>
      </c>
      <c r="F108" s="4">
        <v>46235</v>
      </c>
      <c r="G108" s="6">
        <v>27346</v>
      </c>
      <c r="H108" s="7" t="str">
        <f t="shared" ca="1" si="2"/>
        <v>52Y</v>
      </c>
      <c r="I108" s="8" t="s">
        <v>28</v>
      </c>
      <c r="J108" s="8" t="s">
        <v>29</v>
      </c>
      <c r="K108" s="15">
        <v>3660600695246</v>
      </c>
      <c r="L108" s="16">
        <v>992759082</v>
      </c>
      <c r="M108" s="5">
        <v>4076563064</v>
      </c>
      <c r="N108" s="9" t="s">
        <v>30</v>
      </c>
      <c r="O108" s="9" t="s">
        <v>31</v>
      </c>
      <c r="P108" s="10" t="s">
        <v>37</v>
      </c>
      <c r="Q108" s="5"/>
      <c r="R108" s="17" t="s">
        <v>185</v>
      </c>
    </row>
    <row r="109" spans="1:18">
      <c r="A109" s="96">
        <v>106</v>
      </c>
      <c r="B109" s="104">
        <v>110921</v>
      </c>
      <c r="C109" s="18" t="s">
        <v>186</v>
      </c>
      <c r="D109" s="18" t="s">
        <v>65</v>
      </c>
      <c r="E109" s="19" t="s">
        <v>187</v>
      </c>
      <c r="F109" s="4">
        <v>45744</v>
      </c>
      <c r="G109" s="6">
        <v>25054</v>
      </c>
      <c r="H109" s="7" t="str">
        <f t="shared" ca="1" si="2"/>
        <v>58Y</v>
      </c>
      <c r="I109" s="8" t="s">
        <v>22</v>
      </c>
      <c r="J109" s="8" t="s">
        <v>29</v>
      </c>
      <c r="K109" s="15">
        <v>3410400191041</v>
      </c>
      <c r="L109" s="16">
        <v>831407886</v>
      </c>
      <c r="M109" s="5">
        <v>8942568586</v>
      </c>
      <c r="N109" s="9" t="s">
        <v>30</v>
      </c>
      <c r="O109" s="9" t="s">
        <v>31</v>
      </c>
      <c r="P109" s="10"/>
      <c r="Q109" s="5"/>
      <c r="R109" s="17"/>
    </row>
    <row r="110" spans="1:18">
      <c r="A110" s="121">
        <v>107</v>
      </c>
      <c r="B110" s="104">
        <v>111086</v>
      </c>
      <c r="C110" s="18" t="s">
        <v>188</v>
      </c>
      <c r="D110" s="18" t="s">
        <v>20</v>
      </c>
      <c r="E110" s="19" t="s">
        <v>187</v>
      </c>
      <c r="F110" s="4">
        <v>46164</v>
      </c>
      <c r="G110" s="6">
        <v>37765</v>
      </c>
      <c r="H110" s="7" t="str">
        <f t="shared" ca="1" si="2"/>
        <v>23Y</v>
      </c>
      <c r="I110" s="8" t="s">
        <v>22</v>
      </c>
      <c r="J110" s="8" t="s">
        <v>29</v>
      </c>
      <c r="K110" s="15">
        <v>1219900902340</v>
      </c>
      <c r="L110" s="16">
        <v>625020844</v>
      </c>
      <c r="M110" s="5"/>
      <c r="N110" s="9"/>
      <c r="O110" s="9"/>
      <c r="P110" s="10"/>
      <c r="Q110" s="5"/>
      <c r="R110" s="17"/>
    </row>
    <row r="111" spans="1:18">
      <c r="A111" s="96">
        <v>108</v>
      </c>
      <c r="B111" s="89">
        <v>420659</v>
      </c>
      <c r="C111" s="18" t="s">
        <v>189</v>
      </c>
      <c r="D111" s="18" t="s">
        <v>27</v>
      </c>
      <c r="E111" s="19" t="s">
        <v>187</v>
      </c>
      <c r="F111" s="4">
        <v>44537</v>
      </c>
      <c r="G111" s="6">
        <v>36676</v>
      </c>
      <c r="H111" s="7" t="str">
        <f t="shared" ca="1" si="2"/>
        <v>26Y</v>
      </c>
      <c r="I111" s="8" t="s">
        <v>28</v>
      </c>
      <c r="J111" s="8" t="s">
        <v>190</v>
      </c>
      <c r="K111" s="15">
        <v>6662100115435</v>
      </c>
      <c r="L111" s="16">
        <v>805977074</v>
      </c>
      <c r="M111" s="5">
        <v>4331769054</v>
      </c>
      <c r="N111" s="9" t="s">
        <v>30</v>
      </c>
      <c r="O111" s="9"/>
      <c r="P111" s="10"/>
      <c r="Q111" s="5"/>
      <c r="R111" s="17"/>
    </row>
    <row r="112" spans="1:18">
      <c r="A112" s="121">
        <v>109</v>
      </c>
      <c r="B112" s="105">
        <v>120995</v>
      </c>
      <c r="C112" s="13" t="s">
        <v>191</v>
      </c>
      <c r="D112" s="18" t="s">
        <v>27</v>
      </c>
      <c r="E112" s="14" t="s">
        <v>187</v>
      </c>
      <c r="F112" s="4">
        <v>46037</v>
      </c>
      <c r="G112" s="6">
        <v>30256</v>
      </c>
      <c r="H112" s="7" t="str">
        <f t="shared" ca="1" si="2"/>
        <v>44Y</v>
      </c>
      <c r="I112" s="8" t="s">
        <v>28</v>
      </c>
      <c r="J112" s="8" t="s">
        <v>29</v>
      </c>
      <c r="K112" s="15">
        <v>3260200064153</v>
      </c>
      <c r="L112" s="16">
        <v>641496298</v>
      </c>
      <c r="M112" s="5">
        <v>8942596636</v>
      </c>
      <c r="N112" s="9" t="s">
        <v>30</v>
      </c>
      <c r="O112" s="9"/>
      <c r="P112" s="10"/>
      <c r="Q112" s="5"/>
      <c r="R112" s="17"/>
    </row>
    <row r="113" spans="1:18" ht="46.5" customHeight="1">
      <c r="A113" s="96">
        <v>110</v>
      </c>
      <c r="B113" s="101">
        <v>120096</v>
      </c>
      <c r="C113" s="18" t="s">
        <v>192</v>
      </c>
      <c r="D113" s="18" t="s">
        <v>43</v>
      </c>
      <c r="E113" s="19" t="s">
        <v>187</v>
      </c>
      <c r="F113" s="4">
        <v>44214</v>
      </c>
      <c r="G113" s="6">
        <v>28939</v>
      </c>
      <c r="H113" s="7" t="str">
        <f t="shared" ca="1" si="2"/>
        <v>47Y</v>
      </c>
      <c r="I113" s="8" t="s">
        <v>28</v>
      </c>
      <c r="J113" s="8" t="s">
        <v>29</v>
      </c>
      <c r="K113" s="15">
        <v>3520100115713</v>
      </c>
      <c r="L113" s="16">
        <v>871745649</v>
      </c>
      <c r="M113" s="5">
        <v>4280896657</v>
      </c>
      <c r="N113" s="9" t="s">
        <v>30</v>
      </c>
      <c r="O113" s="9"/>
      <c r="P113" s="10"/>
      <c r="Q113" s="5"/>
      <c r="R113" s="17"/>
    </row>
    <row r="114" spans="1:18">
      <c r="A114" s="121">
        <v>111</v>
      </c>
      <c r="B114" s="101">
        <v>111306</v>
      </c>
      <c r="C114" s="18" t="s">
        <v>193</v>
      </c>
      <c r="D114" s="18" t="s">
        <v>65</v>
      </c>
      <c r="E114" s="19" t="s">
        <v>194</v>
      </c>
      <c r="F114" s="4">
        <v>46234</v>
      </c>
      <c r="G114" s="6">
        <v>23400</v>
      </c>
      <c r="H114" s="7" t="str">
        <f t="shared" ca="1" si="2"/>
        <v>62Y</v>
      </c>
      <c r="I114" s="8" t="s">
        <v>22</v>
      </c>
      <c r="J114" s="8" t="s">
        <v>29</v>
      </c>
      <c r="K114" s="15">
        <v>3669800023517</v>
      </c>
      <c r="L114" s="16">
        <v>645645081</v>
      </c>
      <c r="M114" s="5">
        <v>4090961600</v>
      </c>
      <c r="N114" s="9" t="s">
        <v>30</v>
      </c>
      <c r="O114" s="9"/>
      <c r="P114" s="10"/>
      <c r="Q114" s="5"/>
      <c r="R114" s="17"/>
    </row>
    <row r="115" spans="1:18">
      <c r="A115" s="96">
        <v>112</v>
      </c>
      <c r="B115" s="91">
        <v>320957</v>
      </c>
      <c r="C115" s="20" t="s">
        <v>195</v>
      </c>
      <c r="D115" s="18" t="s">
        <v>27</v>
      </c>
      <c r="E115" s="19" t="s">
        <v>194</v>
      </c>
      <c r="F115" s="4">
        <v>45874</v>
      </c>
      <c r="G115" s="6">
        <v>31976</v>
      </c>
      <c r="H115" s="7" t="str">
        <f t="shared" ca="1" si="2"/>
        <v>39Y</v>
      </c>
      <c r="I115" s="8" t="s">
        <v>28</v>
      </c>
      <c r="J115" s="8" t="s">
        <v>151</v>
      </c>
      <c r="K115" s="15">
        <v>20681045809</v>
      </c>
      <c r="L115" s="130"/>
      <c r="M115" s="5"/>
      <c r="N115" s="9"/>
      <c r="O115" s="9"/>
      <c r="P115" s="10"/>
      <c r="Q115" s="5"/>
      <c r="R115" s="17"/>
    </row>
    <row r="116" spans="1:18">
      <c r="A116" s="121">
        <v>113</v>
      </c>
      <c r="B116" s="103">
        <v>121050</v>
      </c>
      <c r="C116" s="21" t="s">
        <v>196</v>
      </c>
      <c r="D116" s="21" t="s">
        <v>27</v>
      </c>
      <c r="E116" s="22" t="s">
        <v>194</v>
      </c>
      <c r="F116" s="4">
        <v>46077</v>
      </c>
      <c r="G116" s="6">
        <v>28524</v>
      </c>
      <c r="H116" s="144" t="str">
        <f t="shared" ca="1" si="2"/>
        <v>48Y</v>
      </c>
      <c r="I116" s="121" t="s">
        <v>28</v>
      </c>
      <c r="J116" s="121" t="s">
        <v>29</v>
      </c>
      <c r="K116" s="129">
        <v>3490100658858</v>
      </c>
      <c r="L116" s="151">
        <v>854728344</v>
      </c>
      <c r="M116" s="96">
        <v>8942666237</v>
      </c>
      <c r="N116" s="148" t="s">
        <v>30</v>
      </c>
      <c r="O116" s="148"/>
      <c r="P116" s="149"/>
      <c r="Q116" s="96"/>
      <c r="R116" s="152"/>
    </row>
    <row r="117" spans="1:18">
      <c r="A117" s="96">
        <v>114</v>
      </c>
      <c r="B117" s="93">
        <v>420769</v>
      </c>
      <c r="C117" s="13" t="s">
        <v>197</v>
      </c>
      <c r="D117" s="18" t="s">
        <v>27</v>
      </c>
      <c r="E117" s="14" t="s">
        <v>198</v>
      </c>
      <c r="F117" s="4">
        <v>44960</v>
      </c>
      <c r="G117" s="6">
        <v>31265</v>
      </c>
      <c r="H117" s="7" t="str">
        <f t="shared" ca="1" si="2"/>
        <v>41Y</v>
      </c>
      <c r="I117" s="8" t="s">
        <v>28</v>
      </c>
      <c r="J117" s="8" t="s">
        <v>190</v>
      </c>
      <c r="K117" s="15">
        <v>6682190002472</v>
      </c>
      <c r="L117" s="16">
        <v>656851165</v>
      </c>
      <c r="M117" s="5"/>
      <c r="N117" s="9"/>
      <c r="O117" s="9"/>
      <c r="P117" s="10"/>
      <c r="Q117" s="5"/>
      <c r="R117" s="17"/>
    </row>
    <row r="118" spans="1:18">
      <c r="A118" s="121">
        <v>115</v>
      </c>
      <c r="B118" s="105">
        <v>121083</v>
      </c>
      <c r="C118" s="2" t="s">
        <v>199</v>
      </c>
      <c r="D118" s="18" t="s">
        <v>27</v>
      </c>
      <c r="E118" s="14" t="s">
        <v>198</v>
      </c>
      <c r="F118" s="4">
        <v>46160</v>
      </c>
      <c r="G118" s="6">
        <v>25247</v>
      </c>
      <c r="H118" s="7" t="str">
        <f t="shared" ca="1" si="2"/>
        <v>57Y</v>
      </c>
      <c r="I118" s="8" t="s">
        <v>28</v>
      </c>
      <c r="J118" s="8" t="s">
        <v>29</v>
      </c>
      <c r="K118" s="15">
        <v>3340900434483</v>
      </c>
      <c r="L118" s="16">
        <v>653430920</v>
      </c>
      <c r="M118" s="5">
        <v>4372190242</v>
      </c>
      <c r="N118" s="9" t="s">
        <v>30</v>
      </c>
      <c r="O118" s="9"/>
      <c r="P118" s="10"/>
      <c r="Q118" s="5"/>
      <c r="R118" s="17"/>
    </row>
    <row r="119" spans="1:18">
      <c r="A119" s="96">
        <v>116</v>
      </c>
      <c r="B119" s="94">
        <v>220680</v>
      </c>
      <c r="C119" s="13" t="s">
        <v>200</v>
      </c>
      <c r="D119" s="18" t="s">
        <v>27</v>
      </c>
      <c r="E119" s="14" t="s">
        <v>198</v>
      </c>
      <c r="F119" s="4">
        <v>46272</v>
      </c>
      <c r="G119" s="6">
        <v>34943</v>
      </c>
      <c r="H119" s="7" t="str">
        <f t="shared" ca="1" si="2"/>
        <v>31Y</v>
      </c>
      <c r="I119" s="8" t="s">
        <v>28</v>
      </c>
      <c r="J119" s="8" t="s">
        <v>23</v>
      </c>
      <c r="K119" s="15">
        <v>6672170006972</v>
      </c>
      <c r="L119" s="130"/>
      <c r="M119" s="5"/>
      <c r="N119" s="9"/>
      <c r="O119" s="9"/>
      <c r="P119" s="10"/>
      <c r="Q119" s="5"/>
      <c r="R119" s="17"/>
    </row>
    <row r="120" spans="1:18">
      <c r="A120" s="121">
        <v>117</v>
      </c>
      <c r="B120" s="105">
        <v>111082</v>
      </c>
      <c r="C120" s="2" t="s">
        <v>201</v>
      </c>
      <c r="D120" s="18" t="s">
        <v>51</v>
      </c>
      <c r="E120" s="14" t="s">
        <v>198</v>
      </c>
      <c r="F120" s="4">
        <v>46161</v>
      </c>
      <c r="G120" s="6">
        <v>27051</v>
      </c>
      <c r="H120" s="7" t="str">
        <f t="shared" ca="1" si="2"/>
        <v>52Y</v>
      </c>
      <c r="I120" s="8" t="s">
        <v>28</v>
      </c>
      <c r="J120" s="8" t="s">
        <v>29</v>
      </c>
      <c r="K120" s="15">
        <v>3400500165701</v>
      </c>
      <c r="L120" s="16">
        <v>655877037</v>
      </c>
      <c r="M120" s="5">
        <v>4380301188</v>
      </c>
      <c r="N120" s="9" t="s">
        <v>30</v>
      </c>
      <c r="O120" s="9"/>
      <c r="P120" s="10"/>
      <c r="Q120" s="5"/>
      <c r="R120" s="17"/>
    </row>
    <row r="121" spans="1:18">
      <c r="A121" s="96">
        <v>118</v>
      </c>
      <c r="B121" s="93">
        <v>211049</v>
      </c>
      <c r="C121" s="13" t="s">
        <v>202</v>
      </c>
      <c r="D121" s="18" t="s">
        <v>65</v>
      </c>
      <c r="E121" s="14" t="s">
        <v>203</v>
      </c>
      <c r="F121" s="4">
        <v>46098</v>
      </c>
      <c r="G121" s="6">
        <v>27040</v>
      </c>
      <c r="H121" s="7" t="str">
        <f t="shared" ca="1" si="2"/>
        <v>52Y</v>
      </c>
      <c r="I121" s="8" t="s">
        <v>22</v>
      </c>
      <c r="J121" s="8" t="s">
        <v>23</v>
      </c>
      <c r="K121" s="15">
        <v>6652160073559</v>
      </c>
      <c r="L121" s="16">
        <v>627982674</v>
      </c>
      <c r="M121" s="5"/>
      <c r="N121" s="9"/>
      <c r="O121" s="9"/>
      <c r="P121" s="10"/>
      <c r="Q121" s="5"/>
      <c r="R121" s="17"/>
    </row>
    <row r="122" spans="1:18">
      <c r="A122" s="121">
        <v>119</v>
      </c>
      <c r="B122" s="93">
        <v>221092</v>
      </c>
      <c r="C122" s="2" t="s">
        <v>204</v>
      </c>
      <c r="D122" s="18" t="s">
        <v>27</v>
      </c>
      <c r="E122" s="14" t="s">
        <v>203</v>
      </c>
      <c r="F122" s="4">
        <v>46188</v>
      </c>
      <c r="G122" s="6">
        <v>37990</v>
      </c>
      <c r="H122" s="7" t="str">
        <f t="shared" ca="1" si="2"/>
        <v>22Y</v>
      </c>
      <c r="I122" s="8" t="s">
        <v>28</v>
      </c>
      <c r="J122" s="8" t="s">
        <v>23</v>
      </c>
      <c r="K122" s="129">
        <v>6682100003987</v>
      </c>
      <c r="L122" s="130"/>
      <c r="M122" s="5">
        <v>4112455810</v>
      </c>
      <c r="N122" s="9" t="s">
        <v>30</v>
      </c>
      <c r="O122" s="9"/>
      <c r="P122" s="10"/>
      <c r="Q122" s="5"/>
      <c r="R122" s="17"/>
    </row>
    <row r="123" spans="1:18" ht="23.25" customHeight="1">
      <c r="A123" s="96">
        <v>120</v>
      </c>
      <c r="B123" s="106">
        <v>120527</v>
      </c>
      <c r="C123" s="13" t="s">
        <v>205</v>
      </c>
      <c r="D123" s="18" t="s">
        <v>27</v>
      </c>
      <c r="E123" s="14" t="s">
        <v>203</v>
      </c>
      <c r="F123" s="4">
        <v>44658</v>
      </c>
      <c r="G123" s="6">
        <v>27272</v>
      </c>
      <c r="H123" s="7" t="str">
        <f t="shared" ca="1" si="2"/>
        <v>52Y</v>
      </c>
      <c r="I123" s="8" t="s">
        <v>28</v>
      </c>
      <c r="J123" s="8" t="s">
        <v>29</v>
      </c>
      <c r="K123" s="15">
        <v>3360300135639</v>
      </c>
      <c r="L123" s="16">
        <v>926073549</v>
      </c>
      <c r="M123" s="5">
        <v>6002616968</v>
      </c>
      <c r="N123" s="9" t="s">
        <v>30</v>
      </c>
      <c r="O123" s="9"/>
      <c r="P123" s="10"/>
      <c r="Q123" s="5"/>
      <c r="R123" s="17"/>
    </row>
    <row r="124" spans="1:18" ht="23.25" customHeight="1">
      <c r="A124" s="121">
        <v>121</v>
      </c>
      <c r="B124" s="105">
        <v>120968</v>
      </c>
      <c r="C124" s="13" t="s">
        <v>206</v>
      </c>
      <c r="D124" s="18" t="s">
        <v>27</v>
      </c>
      <c r="E124" s="14" t="s">
        <v>203</v>
      </c>
      <c r="F124" s="4">
        <v>45909</v>
      </c>
      <c r="G124" s="6">
        <v>28014</v>
      </c>
      <c r="H124" s="7" t="str">
        <f t="shared" ca="1" si="2"/>
        <v>50Y</v>
      </c>
      <c r="I124" s="8" t="s">
        <v>28</v>
      </c>
      <c r="J124" s="8" t="s">
        <v>29</v>
      </c>
      <c r="K124" s="15">
        <v>3200200534354</v>
      </c>
      <c r="L124" s="16">
        <v>961127488</v>
      </c>
      <c r="M124" s="5">
        <v>4120631468</v>
      </c>
      <c r="N124" s="9" t="s">
        <v>30</v>
      </c>
      <c r="O124" s="9"/>
      <c r="P124" s="10"/>
      <c r="Q124" s="5"/>
      <c r="R124" s="17"/>
    </row>
    <row r="125" spans="1:18" ht="46.5">
      <c r="A125" s="96">
        <v>122</v>
      </c>
      <c r="B125" s="106">
        <v>110618</v>
      </c>
      <c r="C125" s="13" t="s">
        <v>207</v>
      </c>
      <c r="D125" s="18" t="s">
        <v>65</v>
      </c>
      <c r="E125" s="14" t="s">
        <v>208</v>
      </c>
      <c r="F125" s="4">
        <v>44973</v>
      </c>
      <c r="G125" s="6">
        <v>20455</v>
      </c>
      <c r="H125" s="7" t="str">
        <f t="shared" ca="1" si="2"/>
        <v>70Y</v>
      </c>
      <c r="I125" s="8" t="s">
        <v>22</v>
      </c>
      <c r="J125" s="8" t="s">
        <v>29</v>
      </c>
      <c r="K125" s="15">
        <v>3341501120753</v>
      </c>
      <c r="L125" s="16">
        <v>969603182</v>
      </c>
      <c r="M125" s="5"/>
      <c r="N125" s="9"/>
      <c r="O125" s="9" t="s">
        <v>31</v>
      </c>
      <c r="P125" s="10" t="s">
        <v>37</v>
      </c>
      <c r="Q125" s="5"/>
      <c r="R125" s="17"/>
    </row>
    <row r="126" spans="1:18">
      <c r="A126" s="121">
        <v>123</v>
      </c>
      <c r="B126" s="106">
        <v>120412</v>
      </c>
      <c r="C126" s="13" t="s">
        <v>409</v>
      </c>
      <c r="D126" s="18" t="s">
        <v>27</v>
      </c>
      <c r="E126" s="14" t="s">
        <v>208</v>
      </c>
      <c r="F126" s="4">
        <v>44340</v>
      </c>
      <c r="G126" s="6">
        <v>24262</v>
      </c>
      <c r="H126" s="7" t="str">
        <f t="shared" ca="1" si="2"/>
        <v>60Y</v>
      </c>
      <c r="I126" s="8" t="s">
        <v>28</v>
      </c>
      <c r="J126" s="8" t="s">
        <v>29</v>
      </c>
      <c r="K126" s="15">
        <v>5316600000781</v>
      </c>
      <c r="L126" s="16">
        <v>614026296</v>
      </c>
      <c r="M126" s="5">
        <v>4140720051</v>
      </c>
      <c r="N126" s="9" t="s">
        <v>30</v>
      </c>
      <c r="O126" s="9"/>
      <c r="P126" s="10"/>
      <c r="Q126" s="5"/>
      <c r="R126" s="17"/>
    </row>
    <row r="127" spans="1:18" ht="46.5">
      <c r="A127" s="96">
        <v>124</v>
      </c>
      <c r="B127" s="105">
        <v>111103</v>
      </c>
      <c r="C127" s="13" t="s">
        <v>209</v>
      </c>
      <c r="D127" s="13" t="s">
        <v>170</v>
      </c>
      <c r="E127" s="14" t="s">
        <v>210</v>
      </c>
      <c r="F127" s="4">
        <v>46217</v>
      </c>
      <c r="G127" s="6">
        <v>34629</v>
      </c>
      <c r="H127" s="7" t="str">
        <f t="shared" ca="1" si="2"/>
        <v>32Y</v>
      </c>
      <c r="I127" s="8" t="s">
        <v>22</v>
      </c>
      <c r="J127" s="8" t="s">
        <v>29</v>
      </c>
      <c r="K127" s="15">
        <v>1341200086975</v>
      </c>
      <c r="L127" s="16">
        <v>897915682</v>
      </c>
      <c r="M127" s="5"/>
      <c r="N127" s="9"/>
      <c r="O127" s="9" t="s">
        <v>31</v>
      </c>
      <c r="P127" s="10" t="s">
        <v>37</v>
      </c>
      <c r="Q127" s="5"/>
      <c r="R127" s="17"/>
    </row>
    <row r="128" spans="1:18">
      <c r="A128" s="121">
        <v>125</v>
      </c>
      <c r="B128" s="105">
        <v>111030</v>
      </c>
      <c r="C128" s="2" t="s">
        <v>211</v>
      </c>
      <c r="D128" s="13" t="s">
        <v>123</v>
      </c>
      <c r="E128" s="14" t="s">
        <v>210</v>
      </c>
      <c r="F128" s="4">
        <v>46100</v>
      </c>
      <c r="G128" s="6">
        <v>32324</v>
      </c>
      <c r="H128" s="7" t="str">
        <f t="shared" ca="1" si="2"/>
        <v>38Y</v>
      </c>
      <c r="I128" s="8" t="s">
        <v>22</v>
      </c>
      <c r="J128" s="8" t="s">
        <v>29</v>
      </c>
      <c r="K128" s="15">
        <v>1100700821845</v>
      </c>
      <c r="L128" s="16">
        <v>995585202</v>
      </c>
      <c r="M128" s="5"/>
      <c r="N128" s="9"/>
      <c r="O128" s="9"/>
      <c r="P128" s="10"/>
      <c r="Q128" s="5"/>
      <c r="R128" s="17"/>
    </row>
    <row r="129" spans="1:18">
      <c r="A129" s="96">
        <v>126</v>
      </c>
      <c r="B129" s="105">
        <v>111078</v>
      </c>
      <c r="C129" s="2" t="s">
        <v>402</v>
      </c>
      <c r="D129" s="13" t="s">
        <v>65</v>
      </c>
      <c r="E129" s="14" t="s">
        <v>210</v>
      </c>
      <c r="F129" s="4">
        <v>46157</v>
      </c>
      <c r="G129" s="6">
        <v>34381</v>
      </c>
      <c r="H129" s="7" t="str">
        <f t="shared" ca="1" si="2"/>
        <v>32Y</v>
      </c>
      <c r="I129" s="8" t="s">
        <v>22</v>
      </c>
      <c r="J129" s="8" t="s">
        <v>29</v>
      </c>
      <c r="K129" s="15">
        <v>1810200093020</v>
      </c>
      <c r="L129" s="16">
        <v>658901517</v>
      </c>
      <c r="M129" s="5"/>
      <c r="N129" s="9"/>
      <c r="O129" s="9"/>
      <c r="P129" s="10"/>
      <c r="Q129" s="5"/>
      <c r="R129" s="17"/>
    </row>
    <row r="130" spans="1:18" ht="46.5">
      <c r="A130" s="121">
        <v>127</v>
      </c>
      <c r="B130" s="105">
        <v>121090</v>
      </c>
      <c r="C130" s="2" t="s">
        <v>212</v>
      </c>
      <c r="D130" s="13" t="s">
        <v>27</v>
      </c>
      <c r="E130" s="14" t="s">
        <v>210</v>
      </c>
      <c r="F130" s="4">
        <v>46181</v>
      </c>
      <c r="G130" s="6">
        <v>31140</v>
      </c>
      <c r="H130" s="7" t="str">
        <f t="shared" ca="1" si="2"/>
        <v>41Y</v>
      </c>
      <c r="I130" s="8" t="s">
        <v>28</v>
      </c>
      <c r="J130" s="8" t="s">
        <v>29</v>
      </c>
      <c r="K130" s="15">
        <v>2340700004142</v>
      </c>
      <c r="L130" s="16">
        <v>621718940</v>
      </c>
      <c r="M130" s="5"/>
      <c r="N130" s="9"/>
      <c r="O130" s="9" t="s">
        <v>31</v>
      </c>
      <c r="P130" s="10" t="s">
        <v>398</v>
      </c>
      <c r="Q130" s="5"/>
      <c r="R130" s="17"/>
    </row>
    <row r="131" spans="1:18" ht="46.5">
      <c r="A131" s="96">
        <v>128</v>
      </c>
      <c r="B131" s="105">
        <v>121088</v>
      </c>
      <c r="C131" s="13" t="s">
        <v>213</v>
      </c>
      <c r="D131" s="13" t="s">
        <v>27</v>
      </c>
      <c r="E131" s="14" t="s">
        <v>210</v>
      </c>
      <c r="F131" s="4">
        <v>46175</v>
      </c>
      <c r="G131" s="6">
        <v>44117</v>
      </c>
      <c r="H131" s="7" t="str">
        <f t="shared" ca="1" si="2"/>
        <v>6Y</v>
      </c>
      <c r="I131" s="8" t="s">
        <v>28</v>
      </c>
      <c r="J131" s="8" t="s">
        <v>29</v>
      </c>
      <c r="K131" s="15">
        <v>3420900749092</v>
      </c>
      <c r="L131" s="16">
        <v>615218124</v>
      </c>
      <c r="M131" s="5">
        <v>6534467291</v>
      </c>
      <c r="N131" s="9" t="s">
        <v>30</v>
      </c>
      <c r="O131" s="127" t="s">
        <v>399</v>
      </c>
      <c r="P131" s="10"/>
      <c r="Q131" s="5"/>
      <c r="R131" s="17"/>
    </row>
    <row r="132" spans="1:18">
      <c r="A132" s="121">
        <v>129</v>
      </c>
      <c r="B132" s="105">
        <v>121006</v>
      </c>
      <c r="C132" s="2" t="s">
        <v>214</v>
      </c>
      <c r="D132" s="13" t="s">
        <v>27</v>
      </c>
      <c r="E132" s="14" t="s">
        <v>210</v>
      </c>
      <c r="F132" s="4">
        <v>46035</v>
      </c>
      <c r="G132" s="6">
        <v>28804</v>
      </c>
      <c r="H132" s="7" t="str">
        <f t="shared" ca="1" si="2"/>
        <v>48Y</v>
      </c>
      <c r="I132" s="8" t="s">
        <v>28</v>
      </c>
      <c r="J132" s="8" t="s">
        <v>29</v>
      </c>
      <c r="K132" s="15">
        <v>3430100737791</v>
      </c>
      <c r="L132" s="16">
        <v>632498690</v>
      </c>
      <c r="M132" s="5">
        <v>6534397632</v>
      </c>
      <c r="N132" s="9" t="s">
        <v>30</v>
      </c>
      <c r="O132" s="9"/>
      <c r="P132" s="10"/>
      <c r="Q132" s="5"/>
      <c r="R132" s="17"/>
    </row>
    <row r="133" spans="1:18" ht="46.5">
      <c r="A133" s="96">
        <v>130</v>
      </c>
      <c r="B133" s="105">
        <v>121089</v>
      </c>
      <c r="C133" s="2" t="s">
        <v>215</v>
      </c>
      <c r="D133" s="13" t="s">
        <v>27</v>
      </c>
      <c r="E133" s="14" t="s">
        <v>210</v>
      </c>
      <c r="F133" s="4">
        <v>46163</v>
      </c>
      <c r="G133" s="6">
        <v>45111</v>
      </c>
      <c r="H133" s="7" t="str">
        <f t="shared" ca="1" si="2"/>
        <v>3Y</v>
      </c>
      <c r="I133" s="8" t="s">
        <v>28</v>
      </c>
      <c r="J133" s="8" t="s">
        <v>29</v>
      </c>
      <c r="K133" s="15">
        <v>3601101421320</v>
      </c>
      <c r="L133" s="16">
        <v>637462919</v>
      </c>
      <c r="M133" s="5">
        <v>4292263159</v>
      </c>
      <c r="N133" s="9" t="s">
        <v>30</v>
      </c>
      <c r="O133" s="9" t="s">
        <v>31</v>
      </c>
      <c r="P133" s="10" t="s">
        <v>398</v>
      </c>
      <c r="Q133" s="5"/>
      <c r="R133" s="17"/>
    </row>
    <row r="134" spans="1:18">
      <c r="A134" s="121">
        <v>131</v>
      </c>
      <c r="B134" s="105">
        <v>121023</v>
      </c>
      <c r="C134" s="2" t="s">
        <v>216</v>
      </c>
      <c r="D134" s="13" t="s">
        <v>27</v>
      </c>
      <c r="E134" s="14" t="s">
        <v>210</v>
      </c>
      <c r="F134" s="4">
        <v>46071</v>
      </c>
      <c r="G134" s="6">
        <v>26109</v>
      </c>
      <c r="H134" s="7" t="str">
        <f t="shared" ca="1" si="2"/>
        <v>55Y</v>
      </c>
      <c r="I134" s="8" t="s">
        <v>28</v>
      </c>
      <c r="J134" s="8" t="s">
        <v>29</v>
      </c>
      <c r="K134" s="15">
        <v>3350300469405</v>
      </c>
      <c r="L134" s="16">
        <v>63414974</v>
      </c>
      <c r="M134" s="5">
        <v>4291653767</v>
      </c>
      <c r="N134" s="9" t="s">
        <v>30</v>
      </c>
      <c r="O134" s="9" t="s">
        <v>31</v>
      </c>
      <c r="P134" s="10" t="s">
        <v>396</v>
      </c>
      <c r="Q134" s="5"/>
      <c r="R134" s="17"/>
    </row>
    <row r="135" spans="1:18" ht="46.5">
      <c r="A135" s="96">
        <v>132</v>
      </c>
      <c r="B135" s="105">
        <v>121080</v>
      </c>
      <c r="C135" s="2" t="s">
        <v>217</v>
      </c>
      <c r="D135" s="13" t="s">
        <v>27</v>
      </c>
      <c r="E135" s="14" t="s">
        <v>210</v>
      </c>
      <c r="F135" s="4">
        <v>46139</v>
      </c>
      <c r="G135" s="6">
        <v>27293</v>
      </c>
      <c r="H135" s="7" t="str">
        <f t="shared" ca="1" si="2"/>
        <v>52Y</v>
      </c>
      <c r="I135" s="8" t="s">
        <v>28</v>
      </c>
      <c r="J135" s="8" t="s">
        <v>29</v>
      </c>
      <c r="K135" s="15">
        <v>3420500405736</v>
      </c>
      <c r="L135" s="16">
        <v>89791682</v>
      </c>
      <c r="M135" s="5">
        <v>4260113778</v>
      </c>
      <c r="N135" s="9" t="s">
        <v>30</v>
      </c>
      <c r="O135" s="9" t="s">
        <v>31</v>
      </c>
      <c r="P135" s="10" t="s">
        <v>398</v>
      </c>
      <c r="Q135" s="5"/>
      <c r="R135" s="17"/>
    </row>
    <row r="136" spans="1:18" ht="46.5">
      <c r="A136" s="121">
        <v>133</v>
      </c>
      <c r="B136" s="105">
        <v>121104</v>
      </c>
      <c r="C136" s="2" t="s">
        <v>218</v>
      </c>
      <c r="D136" s="13" t="s">
        <v>27</v>
      </c>
      <c r="E136" s="14" t="s">
        <v>210</v>
      </c>
      <c r="F136" s="4">
        <v>46217</v>
      </c>
      <c r="G136" s="6">
        <v>30696</v>
      </c>
      <c r="H136" s="7" t="str">
        <f t="shared" ca="1" si="2"/>
        <v>42Y</v>
      </c>
      <c r="I136" s="8" t="s">
        <v>28</v>
      </c>
      <c r="J136" s="8" t="s">
        <v>29</v>
      </c>
      <c r="K136" s="15">
        <v>1341300004075</v>
      </c>
      <c r="L136" s="16">
        <v>897915682</v>
      </c>
      <c r="M136" s="5">
        <v>4181830267</v>
      </c>
      <c r="N136" s="9" t="s">
        <v>30</v>
      </c>
      <c r="O136" s="9" t="s">
        <v>31</v>
      </c>
      <c r="P136" s="10" t="s">
        <v>37</v>
      </c>
      <c r="Q136" s="5"/>
      <c r="R136" s="17"/>
    </row>
    <row r="137" spans="1:18">
      <c r="A137" s="96">
        <v>134</v>
      </c>
      <c r="B137" s="101">
        <v>120336</v>
      </c>
      <c r="C137" s="18" t="s">
        <v>219</v>
      </c>
      <c r="D137" s="18" t="s">
        <v>27</v>
      </c>
      <c r="E137" s="19" t="s">
        <v>220</v>
      </c>
      <c r="F137" s="4">
        <v>44119</v>
      </c>
      <c r="G137" s="6">
        <v>24517</v>
      </c>
      <c r="H137" s="7" t="str">
        <f t="shared" ca="1" si="2"/>
        <v>59Y</v>
      </c>
      <c r="I137" s="8" t="s">
        <v>28</v>
      </c>
      <c r="J137" s="8" t="s">
        <v>29</v>
      </c>
      <c r="K137" s="15">
        <v>3330600345566</v>
      </c>
      <c r="L137" s="16">
        <v>957968318</v>
      </c>
      <c r="M137" s="5">
        <v>4280826686</v>
      </c>
      <c r="N137" s="9" t="s">
        <v>30</v>
      </c>
      <c r="O137" s="9"/>
      <c r="P137" s="10"/>
      <c r="Q137" s="5"/>
      <c r="R137" s="17"/>
    </row>
    <row r="138" spans="1:18">
      <c r="A138" s="121">
        <v>135</v>
      </c>
      <c r="B138" s="101">
        <v>120473</v>
      </c>
      <c r="C138" s="18" t="s">
        <v>221</v>
      </c>
      <c r="D138" s="18" t="s">
        <v>27</v>
      </c>
      <c r="E138" s="19" t="s">
        <v>220</v>
      </c>
      <c r="F138" s="4">
        <v>46061</v>
      </c>
      <c r="G138" s="6">
        <v>21081</v>
      </c>
      <c r="H138" s="7" t="str">
        <f t="shared" ca="1" si="2"/>
        <v>69Y</v>
      </c>
      <c r="I138" s="8" t="s">
        <v>28</v>
      </c>
      <c r="J138" s="8" t="s">
        <v>29</v>
      </c>
      <c r="K138" s="15">
        <v>3310600663860</v>
      </c>
      <c r="L138" s="16">
        <v>647986508</v>
      </c>
      <c r="M138" s="5">
        <v>4351211497</v>
      </c>
      <c r="N138" s="9" t="s">
        <v>30</v>
      </c>
      <c r="O138" s="9"/>
      <c r="P138" s="10"/>
      <c r="Q138" s="5"/>
      <c r="R138" s="17"/>
    </row>
    <row r="139" spans="1:18">
      <c r="A139" s="96">
        <v>136</v>
      </c>
      <c r="B139" s="104">
        <v>120998</v>
      </c>
      <c r="C139" s="21" t="s">
        <v>222</v>
      </c>
      <c r="D139" s="18" t="s">
        <v>27</v>
      </c>
      <c r="E139" s="19" t="s">
        <v>223</v>
      </c>
      <c r="F139" s="4">
        <v>46027</v>
      </c>
      <c r="G139" s="6">
        <v>27979</v>
      </c>
      <c r="H139" s="7" t="str">
        <f t="shared" ca="1" si="2"/>
        <v>50Y</v>
      </c>
      <c r="I139" s="8" t="s">
        <v>28</v>
      </c>
      <c r="J139" s="8" t="s">
        <v>29</v>
      </c>
      <c r="K139" s="15">
        <v>3200700732198</v>
      </c>
      <c r="L139" s="16">
        <v>870264319</v>
      </c>
      <c r="M139" s="5">
        <v>4096999261</v>
      </c>
      <c r="N139" s="9" t="s">
        <v>30</v>
      </c>
      <c r="O139" s="9" t="s">
        <v>31</v>
      </c>
      <c r="P139" s="10"/>
      <c r="Q139" s="5"/>
      <c r="R139" s="17"/>
    </row>
    <row r="140" spans="1:18">
      <c r="A140" s="121">
        <v>137</v>
      </c>
      <c r="B140" s="101">
        <v>120007</v>
      </c>
      <c r="C140" s="18" t="s">
        <v>224</v>
      </c>
      <c r="D140" s="18" t="s">
        <v>27</v>
      </c>
      <c r="E140" s="19" t="s">
        <v>223</v>
      </c>
      <c r="F140" s="4">
        <v>44515</v>
      </c>
      <c r="G140" s="6">
        <v>26236</v>
      </c>
      <c r="H140" s="7" t="str">
        <f t="shared" ca="1" si="2"/>
        <v>55Y</v>
      </c>
      <c r="I140" s="8" t="s">
        <v>28</v>
      </c>
      <c r="J140" s="8" t="s">
        <v>29</v>
      </c>
      <c r="K140" s="15">
        <v>3460700228099</v>
      </c>
      <c r="L140" s="16">
        <v>850309821</v>
      </c>
      <c r="M140" s="5">
        <v>4053129205</v>
      </c>
      <c r="N140" s="9" t="s">
        <v>30</v>
      </c>
      <c r="O140" s="9" t="s">
        <v>31</v>
      </c>
      <c r="P140" s="10" t="s">
        <v>88</v>
      </c>
      <c r="Q140" s="5"/>
      <c r="R140" s="17"/>
    </row>
    <row r="141" spans="1:18">
      <c r="A141" s="96">
        <v>138</v>
      </c>
      <c r="B141" s="105">
        <v>120919</v>
      </c>
      <c r="C141" s="13" t="s">
        <v>225</v>
      </c>
      <c r="D141" s="13" t="s">
        <v>27</v>
      </c>
      <c r="E141" s="3" t="s">
        <v>226</v>
      </c>
      <c r="F141" s="4">
        <v>45824</v>
      </c>
      <c r="G141" s="6">
        <v>25464</v>
      </c>
      <c r="H141" s="7" t="str">
        <f t="shared" ca="1" si="2"/>
        <v>57Y</v>
      </c>
      <c r="I141" s="8" t="s">
        <v>28</v>
      </c>
      <c r="J141" s="8" t="s">
        <v>29</v>
      </c>
      <c r="K141" s="15">
        <v>3400500033294</v>
      </c>
      <c r="L141" s="16">
        <v>828448643</v>
      </c>
      <c r="M141" s="5">
        <v>4290436073</v>
      </c>
      <c r="N141" s="9" t="s">
        <v>30</v>
      </c>
      <c r="O141" s="9"/>
      <c r="P141" s="10"/>
      <c r="Q141" s="5"/>
      <c r="R141" s="17"/>
    </row>
    <row r="142" spans="1:18">
      <c r="A142" s="121">
        <v>139</v>
      </c>
      <c r="B142" s="105">
        <v>120148</v>
      </c>
      <c r="C142" s="13" t="s">
        <v>227</v>
      </c>
      <c r="D142" s="13" t="s">
        <v>27</v>
      </c>
      <c r="E142" s="14" t="s">
        <v>226</v>
      </c>
      <c r="F142" s="4">
        <v>45699</v>
      </c>
      <c r="G142" s="6">
        <v>30932</v>
      </c>
      <c r="H142" s="7" t="str">
        <f t="shared" ca="1" si="2"/>
        <v>42Y</v>
      </c>
      <c r="I142" s="8" t="s">
        <v>28</v>
      </c>
      <c r="J142" s="8" t="s">
        <v>29</v>
      </c>
      <c r="K142" s="15">
        <v>3341601261677</v>
      </c>
      <c r="L142" s="16">
        <v>962805164</v>
      </c>
      <c r="M142" s="5">
        <v>4085934854</v>
      </c>
      <c r="N142" s="9" t="s">
        <v>30</v>
      </c>
      <c r="O142" s="9"/>
      <c r="P142" s="10"/>
      <c r="Q142" s="5"/>
      <c r="R142" s="17"/>
    </row>
    <row r="143" spans="1:18">
      <c r="A143" s="96">
        <v>140</v>
      </c>
      <c r="B143" s="105">
        <v>120436</v>
      </c>
      <c r="C143" s="13" t="s">
        <v>408</v>
      </c>
      <c r="D143" s="13" t="s">
        <v>27</v>
      </c>
      <c r="E143" s="14" t="s">
        <v>228</v>
      </c>
      <c r="F143" s="4">
        <v>46258</v>
      </c>
      <c r="G143" s="6">
        <v>29389</v>
      </c>
      <c r="H143" s="7" t="str">
        <f t="shared" ca="1" si="2"/>
        <v>46Y</v>
      </c>
      <c r="I143" s="8" t="s">
        <v>28</v>
      </c>
      <c r="J143" s="8" t="s">
        <v>29</v>
      </c>
      <c r="K143" s="15">
        <v>3110200465001</v>
      </c>
      <c r="L143" s="16">
        <v>655972936</v>
      </c>
      <c r="M143" s="5"/>
      <c r="N143" s="9"/>
      <c r="O143" s="9"/>
      <c r="P143" s="10"/>
      <c r="Q143" s="5"/>
      <c r="R143" s="17"/>
    </row>
    <row r="144" spans="1:18">
      <c r="A144" s="121">
        <v>141</v>
      </c>
      <c r="B144" s="105">
        <v>120978</v>
      </c>
      <c r="C144" s="13" t="s">
        <v>229</v>
      </c>
      <c r="D144" s="13" t="s">
        <v>27</v>
      </c>
      <c r="E144" s="14" t="s">
        <v>228</v>
      </c>
      <c r="F144" s="4">
        <v>45967</v>
      </c>
      <c r="G144" s="6">
        <v>23744</v>
      </c>
      <c r="H144" s="7" t="str">
        <f t="shared" ca="1" si="2"/>
        <v>61Y</v>
      </c>
      <c r="I144" s="8" t="s">
        <v>28</v>
      </c>
      <c r="J144" s="8" t="s">
        <v>29</v>
      </c>
      <c r="K144" s="15">
        <v>3410401044522</v>
      </c>
      <c r="L144" s="16">
        <v>624056167</v>
      </c>
      <c r="M144" s="5">
        <v>8942564299</v>
      </c>
      <c r="N144" s="9" t="s">
        <v>30</v>
      </c>
      <c r="O144" s="9" t="s">
        <v>31</v>
      </c>
      <c r="P144" s="10" t="s">
        <v>32</v>
      </c>
      <c r="Q144" s="5"/>
      <c r="R144" s="17"/>
    </row>
    <row r="145" spans="1:18" ht="46.5">
      <c r="A145" s="96">
        <v>142</v>
      </c>
      <c r="B145" s="101">
        <v>110898</v>
      </c>
      <c r="C145" s="18" t="s">
        <v>230</v>
      </c>
      <c r="D145" s="18" t="s">
        <v>65</v>
      </c>
      <c r="E145" s="19" t="s">
        <v>231</v>
      </c>
      <c r="F145" s="4">
        <v>45608</v>
      </c>
      <c r="G145" s="6">
        <v>25544</v>
      </c>
      <c r="H145" s="7" t="str">
        <f t="shared" ca="1" si="2"/>
        <v>57Y</v>
      </c>
      <c r="I145" s="8" t="s">
        <v>22</v>
      </c>
      <c r="J145" s="8" t="s">
        <v>29</v>
      </c>
      <c r="K145" s="15">
        <v>3490400073201</v>
      </c>
      <c r="L145" s="16">
        <v>624396338</v>
      </c>
      <c r="M145" s="5">
        <v>8322964027</v>
      </c>
      <c r="N145" s="9" t="s">
        <v>30</v>
      </c>
      <c r="O145" s="9" t="s">
        <v>31</v>
      </c>
      <c r="P145" s="10" t="s">
        <v>49</v>
      </c>
      <c r="Q145" s="5"/>
      <c r="R145" s="17"/>
    </row>
    <row r="146" spans="1:18">
      <c r="A146" s="121">
        <v>143</v>
      </c>
      <c r="B146" s="101">
        <v>120102</v>
      </c>
      <c r="C146" s="18" t="s">
        <v>232</v>
      </c>
      <c r="D146" s="18" t="s">
        <v>27</v>
      </c>
      <c r="E146" s="19" t="s">
        <v>233</v>
      </c>
      <c r="F146" s="4">
        <v>42826</v>
      </c>
      <c r="G146" s="6">
        <v>29101</v>
      </c>
      <c r="H146" s="7" t="str">
        <f t="shared" ca="1" si="2"/>
        <v>47Y</v>
      </c>
      <c r="I146" s="8" t="s">
        <v>28</v>
      </c>
      <c r="J146" s="8" t="s">
        <v>29</v>
      </c>
      <c r="K146" s="15">
        <v>3350800664479</v>
      </c>
      <c r="L146" s="16">
        <v>959491255</v>
      </c>
      <c r="M146" s="5">
        <v>4078172974</v>
      </c>
      <c r="N146" s="9" t="s">
        <v>30</v>
      </c>
      <c r="O146" s="9" t="s">
        <v>31</v>
      </c>
      <c r="P146" s="10"/>
      <c r="Q146" s="5"/>
      <c r="R146" s="17"/>
    </row>
    <row r="147" spans="1:18" ht="46.5" customHeight="1">
      <c r="A147" s="96">
        <v>144</v>
      </c>
      <c r="B147" s="104">
        <v>120962</v>
      </c>
      <c r="C147" s="18" t="s">
        <v>234</v>
      </c>
      <c r="D147" s="18" t="s">
        <v>27</v>
      </c>
      <c r="E147" s="19" t="s">
        <v>235</v>
      </c>
      <c r="F147" s="4">
        <v>45917</v>
      </c>
      <c r="G147" s="6">
        <v>30149</v>
      </c>
      <c r="H147" s="7" t="str">
        <f t="shared" ca="1" si="2"/>
        <v>44Y</v>
      </c>
      <c r="I147" s="8" t="s">
        <v>28</v>
      </c>
      <c r="J147" s="8" t="s">
        <v>29</v>
      </c>
      <c r="K147" s="15">
        <v>3201000184962</v>
      </c>
      <c r="L147" s="16">
        <v>640305081</v>
      </c>
      <c r="M147" s="5">
        <v>4191357990</v>
      </c>
      <c r="N147" s="9" t="s">
        <v>30</v>
      </c>
      <c r="O147" s="9" t="s">
        <v>31</v>
      </c>
      <c r="P147" s="10"/>
      <c r="Q147" s="5"/>
      <c r="R147" s="17"/>
    </row>
    <row r="148" spans="1:18">
      <c r="A148" s="121">
        <v>145</v>
      </c>
      <c r="B148" s="104">
        <v>120847</v>
      </c>
      <c r="C148" s="21" t="s">
        <v>236</v>
      </c>
      <c r="D148" s="18" t="s">
        <v>27</v>
      </c>
      <c r="E148" s="19" t="s">
        <v>237</v>
      </c>
      <c r="F148" s="4">
        <v>45813</v>
      </c>
      <c r="G148" s="6">
        <v>30773</v>
      </c>
      <c r="H148" s="7" t="str">
        <f t="shared" ca="1" si="2"/>
        <v>42Y</v>
      </c>
      <c r="I148" s="8" t="s">
        <v>28</v>
      </c>
      <c r="J148" s="8" t="s">
        <v>29</v>
      </c>
      <c r="K148" s="15">
        <v>1209999000271</v>
      </c>
      <c r="L148" s="16">
        <v>949044004</v>
      </c>
      <c r="M148" s="5">
        <v>4102335949</v>
      </c>
      <c r="N148" s="9" t="s">
        <v>30</v>
      </c>
      <c r="O148" s="9" t="s">
        <v>31</v>
      </c>
      <c r="P148" s="10"/>
      <c r="Q148" s="5"/>
      <c r="R148" s="17"/>
    </row>
    <row r="149" spans="1:18" ht="46.5">
      <c r="A149" s="96">
        <v>146</v>
      </c>
      <c r="B149" s="104">
        <v>120910</v>
      </c>
      <c r="C149" s="18" t="s">
        <v>238</v>
      </c>
      <c r="D149" s="18" t="s">
        <v>27</v>
      </c>
      <c r="E149" s="19" t="s">
        <v>239</v>
      </c>
      <c r="F149" s="4">
        <v>45653</v>
      </c>
      <c r="G149" s="6">
        <v>29586</v>
      </c>
      <c r="H149" s="7" t="str">
        <f t="shared" ca="1" si="2"/>
        <v>46Y</v>
      </c>
      <c r="I149" s="8" t="s">
        <v>28</v>
      </c>
      <c r="J149" s="8" t="s">
        <v>29</v>
      </c>
      <c r="K149" s="15">
        <v>3670701109326</v>
      </c>
      <c r="L149" s="16">
        <v>986120623</v>
      </c>
      <c r="M149" s="5">
        <v>4282081931</v>
      </c>
      <c r="N149" s="9" t="s">
        <v>30</v>
      </c>
      <c r="O149" s="9" t="s">
        <v>31</v>
      </c>
      <c r="P149" s="10" t="s">
        <v>44</v>
      </c>
      <c r="Q149" s="5"/>
      <c r="R149" s="17"/>
    </row>
    <row r="150" spans="1:18">
      <c r="A150" s="121">
        <v>147</v>
      </c>
      <c r="B150" s="104">
        <v>120950</v>
      </c>
      <c r="C150" s="18" t="s">
        <v>240</v>
      </c>
      <c r="D150" s="18" t="s">
        <v>27</v>
      </c>
      <c r="E150" s="19" t="s">
        <v>241</v>
      </c>
      <c r="F150" s="4">
        <v>45873</v>
      </c>
      <c r="G150" s="6">
        <v>28297</v>
      </c>
      <c r="H150" s="7" t="str">
        <f t="shared" ca="1" si="2"/>
        <v>49Y</v>
      </c>
      <c r="I150" s="8" t="s">
        <v>28</v>
      </c>
      <c r="J150" s="8" t="s">
        <v>29</v>
      </c>
      <c r="K150" s="15">
        <v>3110101827834</v>
      </c>
      <c r="L150" s="16">
        <v>643479786</v>
      </c>
      <c r="M150" s="5"/>
      <c r="N150" s="9"/>
      <c r="O150" s="9"/>
      <c r="P150" s="10"/>
      <c r="Q150" s="5"/>
      <c r="R150" s="17"/>
    </row>
    <row r="151" spans="1:18" ht="46.5">
      <c r="A151" s="96">
        <v>148</v>
      </c>
      <c r="B151" s="104">
        <v>120853</v>
      </c>
      <c r="C151" s="18" t="s">
        <v>242</v>
      </c>
      <c r="D151" s="18" t="s">
        <v>27</v>
      </c>
      <c r="E151" s="19" t="s">
        <v>243</v>
      </c>
      <c r="F151" s="4">
        <v>45496</v>
      </c>
      <c r="G151" s="6">
        <v>29293</v>
      </c>
      <c r="H151" s="7" t="str">
        <f t="shared" ca="1" si="2"/>
        <v>46Y</v>
      </c>
      <c r="I151" s="8" t="s">
        <v>28</v>
      </c>
      <c r="J151" s="8" t="s">
        <v>29</v>
      </c>
      <c r="K151" s="15">
        <v>3320700848853</v>
      </c>
      <c r="L151" s="16">
        <v>800169654</v>
      </c>
      <c r="M151" s="5">
        <v>4241678628</v>
      </c>
      <c r="N151" s="9" t="s">
        <v>30</v>
      </c>
      <c r="O151" s="9"/>
      <c r="P151" s="10"/>
      <c r="Q151" s="5"/>
      <c r="R151" s="17"/>
    </row>
    <row r="152" spans="1:18" ht="46.5">
      <c r="A152" s="121">
        <v>149</v>
      </c>
      <c r="B152" s="104">
        <v>121091</v>
      </c>
      <c r="C152" s="18" t="s">
        <v>244</v>
      </c>
      <c r="D152" s="18" t="s">
        <v>27</v>
      </c>
      <c r="E152" s="19" t="s">
        <v>395</v>
      </c>
      <c r="F152" s="4">
        <v>46190</v>
      </c>
      <c r="G152" s="6">
        <v>28729</v>
      </c>
      <c r="H152" s="7" t="str">
        <f t="shared" ca="1" si="2"/>
        <v>48Y</v>
      </c>
      <c r="I152" s="8" t="s">
        <v>28</v>
      </c>
      <c r="J152" s="8" t="s">
        <v>29</v>
      </c>
      <c r="K152" s="15">
        <v>3430100902678</v>
      </c>
      <c r="L152" s="16">
        <v>610156407</v>
      </c>
      <c r="M152" s="5">
        <v>4086694180</v>
      </c>
      <c r="N152" s="9" t="s">
        <v>30</v>
      </c>
      <c r="O152" s="9" t="s">
        <v>31</v>
      </c>
      <c r="P152" s="10" t="s">
        <v>54</v>
      </c>
      <c r="Q152" s="5"/>
      <c r="R152" s="17"/>
    </row>
    <row r="153" spans="1:18">
      <c r="A153" s="96">
        <v>150</v>
      </c>
      <c r="B153" s="105">
        <v>121021</v>
      </c>
      <c r="C153" s="2" t="s">
        <v>246</v>
      </c>
      <c r="D153" s="18" t="s">
        <v>27</v>
      </c>
      <c r="E153" s="27" t="s">
        <v>247</v>
      </c>
      <c r="F153" s="4">
        <v>46058</v>
      </c>
      <c r="G153" s="6">
        <v>25968</v>
      </c>
      <c r="H153" s="7" t="str">
        <f t="shared" ca="1" si="2"/>
        <v>55Y</v>
      </c>
      <c r="I153" s="8" t="s">
        <v>28</v>
      </c>
      <c r="J153" s="8" t="s">
        <v>29</v>
      </c>
      <c r="K153" s="15">
        <v>3740200061648</v>
      </c>
      <c r="L153" s="16">
        <v>823498129</v>
      </c>
      <c r="M153" s="5">
        <v>4310315979</v>
      </c>
      <c r="N153" s="9" t="s">
        <v>30</v>
      </c>
      <c r="O153" s="9"/>
      <c r="P153" s="10"/>
      <c r="Q153" s="5"/>
      <c r="R153" s="17"/>
    </row>
    <row r="154" spans="1:18" ht="46.5">
      <c r="A154" s="121">
        <v>151</v>
      </c>
      <c r="B154" s="105">
        <v>120812</v>
      </c>
      <c r="C154" s="13" t="s">
        <v>248</v>
      </c>
      <c r="D154" s="13" t="s">
        <v>27</v>
      </c>
      <c r="E154" s="14" t="s">
        <v>249</v>
      </c>
      <c r="F154" s="4">
        <v>45425</v>
      </c>
      <c r="G154" s="6">
        <v>28984</v>
      </c>
      <c r="H154" s="7" t="str">
        <f t="shared" ca="1" si="2"/>
        <v>47Y</v>
      </c>
      <c r="I154" s="8" t="s">
        <v>28</v>
      </c>
      <c r="J154" s="8" t="s">
        <v>29</v>
      </c>
      <c r="K154" s="15">
        <v>3920600633931</v>
      </c>
      <c r="L154" s="16">
        <v>992081010</v>
      </c>
      <c r="M154" s="5">
        <v>4230255738</v>
      </c>
      <c r="N154" s="9" t="s">
        <v>30</v>
      </c>
      <c r="O154" s="9" t="s">
        <v>31</v>
      </c>
      <c r="P154" s="10" t="s">
        <v>37</v>
      </c>
      <c r="Q154" s="5"/>
      <c r="R154" s="17"/>
    </row>
    <row r="155" spans="1:18">
      <c r="A155" s="96">
        <v>152</v>
      </c>
      <c r="B155" s="105">
        <v>120928</v>
      </c>
      <c r="C155" s="13" t="s">
        <v>250</v>
      </c>
      <c r="D155" s="13" t="s">
        <v>27</v>
      </c>
      <c r="E155" s="14" t="s">
        <v>251</v>
      </c>
      <c r="F155" s="4">
        <v>45791</v>
      </c>
      <c r="G155" s="6">
        <v>30938</v>
      </c>
      <c r="H155" s="7" t="str">
        <f t="shared" ca="1" si="2"/>
        <v>42Y</v>
      </c>
      <c r="I155" s="8" t="s">
        <v>28</v>
      </c>
      <c r="J155" s="8" t="s">
        <v>29</v>
      </c>
      <c r="K155" s="15">
        <v>1120100020922</v>
      </c>
      <c r="L155" s="16">
        <v>652472853</v>
      </c>
      <c r="M155" s="5">
        <v>4241977682</v>
      </c>
      <c r="N155" s="9" t="s">
        <v>30</v>
      </c>
      <c r="O155" s="9"/>
      <c r="P155" s="10"/>
      <c r="Q155" s="5"/>
      <c r="R155" s="17"/>
    </row>
  </sheetData>
  <autoFilter ref="A3:AA155" xr:uid="{0991C6F6-7993-4286-AF61-062A0E8BB18E}">
    <filterColumn colId="14" showButton="0"/>
  </autoFilter>
  <dataConsolidate function="product"/>
  <mergeCells count="1">
    <mergeCell ref="O3:P3"/>
  </mergeCells>
  <conditionalFormatting sqref="B1:B1048576">
    <cfRule type="duplicateValues" dxfId="117" priority="1"/>
  </conditionalFormatting>
  <conditionalFormatting sqref="B10:B12">
    <cfRule type="duplicateValues" dxfId="116" priority="63"/>
  </conditionalFormatting>
  <conditionalFormatting sqref="B18">
    <cfRule type="duplicateValues" dxfId="115" priority="21"/>
    <cfRule type="duplicateValues" dxfId="114" priority="20"/>
  </conditionalFormatting>
  <conditionalFormatting sqref="B21">
    <cfRule type="duplicateValues" dxfId="113" priority="73"/>
    <cfRule type="duplicateValues" dxfId="112" priority="74"/>
    <cfRule type="duplicateValues" dxfId="111" priority="71"/>
    <cfRule type="duplicateValues" dxfId="110" priority="72"/>
  </conditionalFormatting>
  <conditionalFormatting sqref="B23:B25">
    <cfRule type="duplicateValues" dxfId="109" priority="96"/>
  </conditionalFormatting>
  <conditionalFormatting sqref="B26:B28">
    <cfRule type="duplicateValues" dxfId="108" priority="77"/>
    <cfRule type="duplicateValues" dxfId="107" priority="78"/>
  </conditionalFormatting>
  <conditionalFormatting sqref="B29">
    <cfRule type="duplicateValues" dxfId="106" priority="32"/>
    <cfRule type="duplicateValues" dxfId="105" priority="33"/>
    <cfRule type="duplicateValues" dxfId="104" priority="34"/>
    <cfRule type="duplicateValues" dxfId="103" priority="31"/>
  </conditionalFormatting>
  <conditionalFormatting sqref="B30">
    <cfRule type="duplicateValues" dxfId="102" priority="119"/>
    <cfRule type="duplicateValues" dxfId="101" priority="120"/>
  </conditionalFormatting>
  <conditionalFormatting sqref="B32">
    <cfRule type="duplicateValues" dxfId="100" priority="64"/>
    <cfRule type="duplicateValues" dxfId="99" priority="65"/>
  </conditionalFormatting>
  <conditionalFormatting sqref="B33">
    <cfRule type="duplicateValues" dxfId="98" priority="28"/>
    <cfRule type="duplicateValues" dxfId="97" priority="27"/>
  </conditionalFormatting>
  <conditionalFormatting sqref="B51">
    <cfRule type="duplicateValues" dxfId="96" priority="91"/>
    <cfRule type="duplicateValues" dxfId="95" priority="90"/>
    <cfRule type="duplicateValues" dxfId="94" priority="88"/>
    <cfRule type="duplicateValues" dxfId="93" priority="89"/>
  </conditionalFormatting>
  <conditionalFormatting sqref="B57 B53:B54">
    <cfRule type="duplicateValues" dxfId="92" priority="19"/>
  </conditionalFormatting>
  <conditionalFormatting sqref="B58 B55:B56">
    <cfRule type="duplicateValues" dxfId="91" priority="60"/>
    <cfRule type="duplicateValues" dxfId="90" priority="59"/>
    <cfRule type="duplicateValues" dxfId="89" priority="58"/>
  </conditionalFormatting>
  <conditionalFormatting sqref="B59">
    <cfRule type="duplicateValues" dxfId="88" priority="44"/>
    <cfRule type="duplicateValues" dxfId="87" priority="45"/>
  </conditionalFormatting>
  <conditionalFormatting sqref="B60">
    <cfRule type="duplicateValues" dxfId="86" priority="123"/>
    <cfRule type="duplicateValues" dxfId="85" priority="122"/>
    <cfRule type="duplicateValues" dxfId="84" priority="121"/>
  </conditionalFormatting>
  <conditionalFormatting sqref="B61:B63 B52">
    <cfRule type="duplicateValues" dxfId="83" priority="125"/>
    <cfRule type="duplicateValues" dxfId="82" priority="124"/>
    <cfRule type="duplicateValues" dxfId="81" priority="126"/>
  </conditionalFormatting>
  <conditionalFormatting sqref="B66:B68">
    <cfRule type="duplicateValues" dxfId="80" priority="133"/>
    <cfRule type="duplicateValues" dxfId="79" priority="132"/>
    <cfRule type="duplicateValues" dxfId="78" priority="131"/>
    <cfRule type="duplicateValues" dxfId="77" priority="130"/>
  </conditionalFormatting>
  <conditionalFormatting sqref="B69:B70">
    <cfRule type="duplicateValues" dxfId="76" priority="134"/>
  </conditionalFormatting>
  <conditionalFormatting sqref="B71:B73 B64:B65">
    <cfRule type="duplicateValues" dxfId="75" priority="135"/>
  </conditionalFormatting>
  <conditionalFormatting sqref="B74:B81 B69:B70">
    <cfRule type="duplicateValues" dxfId="74" priority="137"/>
  </conditionalFormatting>
  <conditionalFormatting sqref="B74:B81">
    <cfRule type="duplicateValues" dxfId="73" priority="143"/>
  </conditionalFormatting>
  <conditionalFormatting sqref="B82:B83">
    <cfRule type="duplicateValues" dxfId="72" priority="148"/>
    <cfRule type="duplicateValues" dxfId="71" priority="149"/>
  </conditionalFormatting>
  <conditionalFormatting sqref="B84:B88">
    <cfRule type="duplicateValues" dxfId="70" priority="150"/>
  </conditionalFormatting>
  <conditionalFormatting sqref="B92">
    <cfRule type="duplicateValues" dxfId="69" priority="3"/>
    <cfRule type="duplicateValues" dxfId="68" priority="4"/>
    <cfRule type="duplicateValues" dxfId="67" priority="6"/>
  </conditionalFormatting>
  <conditionalFormatting sqref="B97:B98">
    <cfRule type="duplicateValues" dxfId="66" priority="70"/>
  </conditionalFormatting>
  <conditionalFormatting sqref="B108:B110">
    <cfRule type="duplicateValues" dxfId="65" priority="103"/>
    <cfRule type="duplicateValues" dxfId="64" priority="102"/>
  </conditionalFormatting>
  <conditionalFormatting sqref="B112 B153:B155 B141:B144 B117:B136">
    <cfRule type="duplicateValues" dxfId="63" priority="157"/>
  </conditionalFormatting>
  <conditionalFormatting sqref="B115:B116">
    <cfRule type="duplicateValues" dxfId="62" priority="154"/>
    <cfRule type="duplicateValues" dxfId="61" priority="153"/>
  </conditionalFormatting>
  <conditionalFormatting sqref="B139:B140 B106:B107">
    <cfRule type="duplicateValues" dxfId="60" priority="8"/>
  </conditionalFormatting>
  <conditionalFormatting sqref="B145:B146 B22 B9 B31:B32 B13:B20 B34:B50">
    <cfRule type="duplicateValues" dxfId="59" priority="166"/>
  </conditionalFormatting>
  <conditionalFormatting sqref="B145:B146 B22 B19:B20 B31:B32 B13:B17 B34:B50">
    <cfRule type="duplicateValues" dxfId="58" priority="174"/>
  </conditionalFormatting>
  <conditionalFormatting sqref="B145:B149 B139:B140 B9:B107">
    <cfRule type="duplicateValues" dxfId="57" priority="182"/>
  </conditionalFormatting>
  <conditionalFormatting sqref="B147 B93:B96 B89:B91">
    <cfRule type="duplicateValues" dxfId="56" priority="200"/>
  </conditionalFormatting>
  <conditionalFormatting sqref="B148 B99:B105">
    <cfRule type="duplicateValues" dxfId="55" priority="113"/>
    <cfRule type="duplicateValues" dxfId="54" priority="112"/>
    <cfRule type="duplicateValues" dxfId="53" priority="111"/>
  </conditionalFormatting>
  <conditionalFormatting sqref="B149">
    <cfRule type="duplicateValues" dxfId="52" priority="43"/>
  </conditionalFormatting>
  <conditionalFormatting sqref="B150:B151 B111 B113 B137:B138">
    <cfRule type="duplicateValues" dxfId="51" priority="209"/>
  </conditionalFormatting>
  <conditionalFormatting sqref="B150:B151 B113 B137:B138 B108:B111">
    <cfRule type="duplicateValues" dxfId="50" priority="204"/>
  </conditionalFormatting>
  <conditionalFormatting sqref="B152 B114">
    <cfRule type="duplicateValues" dxfId="49" priority="68"/>
    <cfRule type="duplicateValues" dxfId="48" priority="67"/>
  </conditionalFormatting>
  <conditionalFormatting sqref="B152 B114:B116">
    <cfRule type="duplicateValues" dxfId="47" priority="213"/>
  </conditionalFormatting>
  <conditionalFormatting sqref="C21">
    <cfRule type="duplicateValues" dxfId="46" priority="75"/>
    <cfRule type="duplicateValues" dxfId="45" priority="76"/>
  </conditionalFormatting>
  <conditionalFormatting sqref="C26:C28">
    <cfRule type="duplicateValues" dxfId="44" priority="79"/>
  </conditionalFormatting>
  <conditionalFormatting sqref="C29">
    <cfRule type="duplicateValues" dxfId="43" priority="37"/>
    <cfRule type="duplicateValues" dxfId="42" priority="36"/>
    <cfRule type="duplicateValues" dxfId="41" priority="35"/>
  </conditionalFormatting>
  <conditionalFormatting sqref="C30">
    <cfRule type="duplicateValues" dxfId="40" priority="16"/>
  </conditionalFormatting>
  <conditionalFormatting sqref="C32">
    <cfRule type="duplicateValues" dxfId="39" priority="66"/>
  </conditionalFormatting>
  <conditionalFormatting sqref="C33">
    <cfRule type="duplicateValues" dxfId="38" priority="29"/>
  </conditionalFormatting>
  <conditionalFormatting sqref="C44:C45">
    <cfRule type="duplicateValues" dxfId="37" priority="51"/>
  </conditionalFormatting>
  <conditionalFormatting sqref="C49:C50">
    <cfRule type="duplicateValues" dxfId="36" priority="23"/>
  </conditionalFormatting>
  <conditionalFormatting sqref="C51">
    <cfRule type="duplicateValues" dxfId="35" priority="92"/>
    <cfRule type="duplicateValues" dxfId="34" priority="93"/>
  </conditionalFormatting>
  <conditionalFormatting sqref="C57 C53:C54">
    <cfRule type="duplicateValues" dxfId="33" priority="18"/>
  </conditionalFormatting>
  <conditionalFormatting sqref="C58 C55:C56">
    <cfRule type="duplicateValues" dxfId="32" priority="61"/>
  </conditionalFormatting>
  <conditionalFormatting sqref="C59">
    <cfRule type="duplicateValues" dxfId="31" priority="22"/>
  </conditionalFormatting>
  <conditionalFormatting sqref="C60">
    <cfRule type="duplicateValues" dxfId="30" priority="41"/>
  </conditionalFormatting>
  <conditionalFormatting sqref="C61 C52">
    <cfRule type="duplicateValues" dxfId="29" priority="54"/>
  </conditionalFormatting>
  <conditionalFormatting sqref="C62:C63">
    <cfRule type="duplicateValues" dxfId="28" priority="62"/>
  </conditionalFormatting>
  <conditionalFormatting sqref="C64">
    <cfRule type="duplicateValues" dxfId="27" priority="12"/>
  </conditionalFormatting>
  <conditionalFormatting sqref="C65">
    <cfRule type="duplicateValues" dxfId="26" priority="14"/>
    <cfRule type="duplicateValues" dxfId="25" priority="13"/>
  </conditionalFormatting>
  <conditionalFormatting sqref="C66:C68">
    <cfRule type="duplicateValues" dxfId="24" priority="50"/>
  </conditionalFormatting>
  <conditionalFormatting sqref="C69:C70">
    <cfRule type="duplicateValues" dxfId="23" priority="53"/>
  </conditionalFormatting>
  <conditionalFormatting sqref="C71:C73">
    <cfRule type="duplicateValues" dxfId="22" priority="10"/>
  </conditionalFormatting>
  <conditionalFormatting sqref="C74:C77">
    <cfRule type="duplicateValues" dxfId="21" priority="80"/>
  </conditionalFormatting>
  <conditionalFormatting sqref="C78:C81">
    <cfRule type="duplicateValues" dxfId="20" priority="42"/>
  </conditionalFormatting>
  <conditionalFormatting sqref="C82:C83">
    <cfRule type="duplicateValues" dxfId="19" priority="26"/>
  </conditionalFormatting>
  <conditionalFormatting sqref="C84:C88">
    <cfRule type="duplicateValues" dxfId="18" priority="98"/>
  </conditionalFormatting>
  <conditionalFormatting sqref="C92">
    <cfRule type="duplicateValues" dxfId="17" priority="5"/>
  </conditionalFormatting>
  <conditionalFormatting sqref="C97:C98 C46:C48">
    <cfRule type="duplicateValues" dxfId="16" priority="69"/>
  </conditionalFormatting>
  <conditionalFormatting sqref="C108:C110">
    <cfRule type="duplicateValues" dxfId="15" priority="104"/>
  </conditionalFormatting>
  <conditionalFormatting sqref="C115:C116">
    <cfRule type="duplicateValues" dxfId="14" priority="85"/>
  </conditionalFormatting>
  <conditionalFormatting sqref="C117:C136 C112 C153:C155 C141:C144">
    <cfRule type="duplicateValues" dxfId="13" priority="106"/>
    <cfRule type="duplicateValues" dxfId="12" priority="105"/>
  </conditionalFormatting>
  <conditionalFormatting sqref="C139:C140 C106:C107 C149">
    <cfRule type="duplicateValues" dxfId="11" priority="9"/>
  </conditionalFormatting>
  <conditionalFormatting sqref="C139:C140 C106:C107">
    <cfRule type="duplicateValues" dxfId="10" priority="7"/>
  </conditionalFormatting>
  <conditionalFormatting sqref="C145:C146 C31 C22 C13:C20 C34:C43">
    <cfRule type="duplicateValues" dxfId="9" priority="108"/>
  </conditionalFormatting>
  <conditionalFormatting sqref="C145:C149 C9:C107 C139:C140">
    <cfRule type="duplicateValues" dxfId="8" priority="100"/>
  </conditionalFormatting>
  <conditionalFormatting sqref="C145:C149 C30:C107 C139:C140 C9:C28">
    <cfRule type="duplicateValues" dxfId="7" priority="99"/>
  </conditionalFormatting>
  <conditionalFormatting sqref="C147 C93:C96 C89:C91">
    <cfRule type="duplicateValues" dxfId="6" priority="109"/>
  </conditionalFormatting>
  <conditionalFormatting sqref="C148 C99:C105">
    <cfRule type="duplicateValues" dxfId="5" priority="114"/>
  </conditionalFormatting>
  <conditionalFormatting sqref="C149">
    <cfRule type="duplicateValues" dxfId="4" priority="30"/>
  </conditionalFormatting>
  <conditionalFormatting sqref="C150:C151 C108:C111 C113 C137:C138">
    <cfRule type="duplicateValues" dxfId="3" priority="117"/>
  </conditionalFormatting>
  <conditionalFormatting sqref="C150:C151 C111 C113 C137:C138">
    <cfRule type="duplicateValues" dxfId="2" priority="115"/>
  </conditionalFormatting>
  <conditionalFormatting sqref="C152 C114">
    <cfRule type="duplicateValues" dxfId="1" priority="2"/>
  </conditionalFormatting>
  <conditionalFormatting sqref="C152 C114:C116">
    <cfRule type="duplicateValues" dxfId="0" priority="86"/>
  </conditionalFormatting>
  <dataValidations count="1">
    <dataValidation type="list" allowBlank="1" showInputMessage="1" showErrorMessage="1" sqref="N4:N155 J4:J155" xr:uid="{0C50B90D-DBF0-4BA8-8479-D4662C768535}">
      <formula1>#REF!</formula1>
    </dataValidation>
  </dataValidations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351A-B846-4763-9692-DC7095D7874D}">
  <dimension ref="A2:K15"/>
  <sheetViews>
    <sheetView workbookViewId="0">
      <selection activeCell="Q17" sqref="Q17"/>
    </sheetView>
  </sheetViews>
  <sheetFormatPr defaultColWidth="9" defaultRowHeight="23.25"/>
  <cols>
    <col min="1" max="1" width="6.5703125" style="73" customWidth="1"/>
    <col min="2" max="2" width="24.85546875" style="109" customWidth="1"/>
    <col min="3" max="3" width="14.5703125" style="73" customWidth="1"/>
    <col min="4" max="4" width="10.85546875" style="73" customWidth="1"/>
    <col min="5" max="5" width="12" style="73" customWidth="1"/>
    <col min="6" max="6" width="11" style="73" customWidth="1"/>
    <col min="7" max="7" width="11.42578125" style="73" customWidth="1"/>
    <col min="8" max="8" width="9" style="73"/>
    <col min="9" max="9" width="14.42578125" style="73" customWidth="1"/>
    <col min="10" max="10" width="14.7109375" style="73" customWidth="1"/>
    <col min="11" max="11" width="15" style="73" customWidth="1"/>
    <col min="12" max="16384" width="9" style="73"/>
  </cols>
  <sheetData>
    <row r="2" spans="1:11">
      <c r="C2" s="73" t="s">
        <v>331</v>
      </c>
    </row>
    <row r="3" spans="1:11">
      <c r="A3" s="239">
        <v>1</v>
      </c>
      <c r="B3" s="240" t="s">
        <v>330</v>
      </c>
      <c r="C3" s="239" t="s">
        <v>332</v>
      </c>
    </row>
    <row r="4" spans="1:11">
      <c r="A4" s="74">
        <v>2</v>
      </c>
      <c r="B4" s="110" t="s">
        <v>112</v>
      </c>
      <c r="C4" s="239" t="s">
        <v>332</v>
      </c>
      <c r="D4" s="241"/>
      <c r="E4" s="242"/>
      <c r="F4" s="242"/>
      <c r="G4" s="242"/>
      <c r="H4" s="242"/>
      <c r="I4" s="242"/>
      <c r="J4" s="242"/>
    </row>
    <row r="5" spans="1:11">
      <c r="A5" s="239">
        <v>3</v>
      </c>
      <c r="B5" s="110" t="s">
        <v>114</v>
      </c>
      <c r="C5" s="74" t="s">
        <v>333</v>
      </c>
      <c r="D5" s="74" t="s">
        <v>337</v>
      </c>
      <c r="E5" s="74" t="s">
        <v>334</v>
      </c>
      <c r="F5" s="74" t="s">
        <v>335</v>
      </c>
      <c r="G5" s="74" t="s">
        <v>253</v>
      </c>
      <c r="H5" s="230" t="s">
        <v>336</v>
      </c>
      <c r="I5" s="74" t="s">
        <v>511</v>
      </c>
      <c r="J5" s="74" t="s">
        <v>515</v>
      </c>
      <c r="K5" s="74" t="s">
        <v>567</v>
      </c>
    </row>
    <row r="6" spans="1:11">
      <c r="A6" s="74">
        <v>4</v>
      </c>
      <c r="B6" s="110" t="s">
        <v>116</v>
      </c>
      <c r="C6" s="74" t="s">
        <v>333</v>
      </c>
      <c r="D6" s="74" t="s">
        <v>337</v>
      </c>
      <c r="E6" s="74" t="s">
        <v>334</v>
      </c>
      <c r="F6" s="74" t="s">
        <v>335</v>
      </c>
      <c r="G6" s="74" t="s">
        <v>253</v>
      </c>
      <c r="H6" s="230" t="s">
        <v>336</v>
      </c>
      <c r="I6" s="74" t="s">
        <v>511</v>
      </c>
      <c r="J6" s="74" t="s">
        <v>515</v>
      </c>
      <c r="K6" s="74" t="s">
        <v>567</v>
      </c>
    </row>
    <row r="7" spans="1:11">
      <c r="A7" s="239">
        <v>5</v>
      </c>
      <c r="B7" s="110" t="s">
        <v>118</v>
      </c>
      <c r="C7" s="74" t="s">
        <v>333</v>
      </c>
      <c r="D7" s="74" t="s">
        <v>334</v>
      </c>
      <c r="E7" s="74" t="s">
        <v>335</v>
      </c>
      <c r="F7" s="74" t="s">
        <v>253</v>
      </c>
      <c r="G7" s="74" t="s">
        <v>336</v>
      </c>
      <c r="H7" s="74" t="s">
        <v>511</v>
      </c>
      <c r="I7" s="74" t="s">
        <v>515</v>
      </c>
      <c r="J7" s="74" t="s">
        <v>567</v>
      </c>
    </row>
    <row r="8" spans="1:11">
      <c r="A8" s="74">
        <v>6</v>
      </c>
      <c r="B8" s="110" t="s">
        <v>394</v>
      </c>
      <c r="C8" s="74" t="s">
        <v>333</v>
      </c>
      <c r="D8" s="74" t="s">
        <v>334</v>
      </c>
      <c r="E8" s="74" t="s">
        <v>335</v>
      </c>
      <c r="F8" s="74" t="s">
        <v>253</v>
      </c>
      <c r="G8" s="74" t="s">
        <v>336</v>
      </c>
      <c r="H8" s="74" t="s">
        <v>511</v>
      </c>
      <c r="I8" s="74" t="s">
        <v>515</v>
      </c>
      <c r="J8" s="74" t="s">
        <v>567</v>
      </c>
    </row>
    <row r="9" spans="1:11">
      <c r="A9" s="239">
        <v>7</v>
      </c>
      <c r="B9" s="110" t="s">
        <v>42</v>
      </c>
      <c r="C9" s="74" t="s">
        <v>511</v>
      </c>
      <c r="D9" s="74" t="s">
        <v>334</v>
      </c>
      <c r="E9" s="74" t="s">
        <v>515</v>
      </c>
      <c r="F9" s="74"/>
      <c r="G9" s="74"/>
      <c r="H9" s="74"/>
      <c r="I9" s="74"/>
    </row>
    <row r="10" spans="1:11">
      <c r="A10" s="74">
        <v>8</v>
      </c>
      <c r="B10" s="110" t="s">
        <v>55</v>
      </c>
      <c r="C10" s="74" t="s">
        <v>511</v>
      </c>
      <c r="D10" s="74" t="s">
        <v>334</v>
      </c>
      <c r="E10" s="74" t="s">
        <v>515</v>
      </c>
      <c r="F10" s="74"/>
      <c r="G10" s="74"/>
      <c r="H10" s="74"/>
      <c r="I10" s="74"/>
    </row>
    <row r="11" spans="1:11">
      <c r="A11" s="239">
        <v>9</v>
      </c>
      <c r="B11" s="110" t="s">
        <v>401</v>
      </c>
      <c r="C11" s="74" t="s">
        <v>511</v>
      </c>
      <c r="D11" s="74" t="s">
        <v>334</v>
      </c>
      <c r="E11" s="74" t="s">
        <v>515</v>
      </c>
      <c r="F11" s="74"/>
      <c r="G11" s="74"/>
      <c r="H11" s="74"/>
      <c r="I11" s="74"/>
    </row>
    <row r="12" spans="1:11">
      <c r="A12" s="74">
        <v>10</v>
      </c>
      <c r="B12" s="110" t="s">
        <v>71</v>
      </c>
      <c r="C12" s="74" t="s">
        <v>511</v>
      </c>
      <c r="D12" s="74" t="s">
        <v>334</v>
      </c>
      <c r="E12" s="74" t="s">
        <v>515</v>
      </c>
      <c r="F12" s="74"/>
      <c r="G12" s="74"/>
      <c r="H12" s="74"/>
      <c r="I12" s="74"/>
    </row>
    <row r="13" spans="1:11">
      <c r="A13" s="239">
        <v>11</v>
      </c>
      <c r="B13" s="110" t="s">
        <v>86</v>
      </c>
      <c r="C13" s="74" t="s">
        <v>511</v>
      </c>
      <c r="D13" s="74" t="s">
        <v>334</v>
      </c>
      <c r="E13" s="74" t="s">
        <v>515</v>
      </c>
      <c r="F13" s="74"/>
      <c r="G13" s="74"/>
      <c r="H13" s="74"/>
      <c r="I13" s="74"/>
    </row>
    <row r="14" spans="1:11">
      <c r="A14" s="74">
        <v>12</v>
      </c>
      <c r="B14" s="110" t="s">
        <v>161</v>
      </c>
      <c r="C14" s="74" t="s">
        <v>511</v>
      </c>
      <c r="D14" s="74" t="s">
        <v>334</v>
      </c>
      <c r="E14" s="74" t="s">
        <v>515</v>
      </c>
      <c r="F14" s="74"/>
      <c r="G14" s="74"/>
      <c r="H14" s="74"/>
      <c r="I14" s="74"/>
    </row>
    <row r="15" spans="1:11">
      <c r="A15" s="239">
        <v>13</v>
      </c>
      <c r="B15" s="110" t="s">
        <v>192</v>
      </c>
      <c r="C15" s="74" t="s">
        <v>511</v>
      </c>
      <c r="D15" s="74" t="s">
        <v>334</v>
      </c>
      <c r="E15" s="74" t="s">
        <v>515</v>
      </c>
      <c r="F15" s="74"/>
      <c r="G15" s="74"/>
      <c r="H15" s="74"/>
      <c r="I15" s="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91E1-F9F5-4F70-B2D2-59B57EA949D1}">
  <dimension ref="A1:I40"/>
  <sheetViews>
    <sheetView topLeftCell="A19" workbookViewId="0">
      <selection activeCell="E44" sqref="E44"/>
    </sheetView>
  </sheetViews>
  <sheetFormatPr defaultColWidth="9" defaultRowHeight="20.100000000000001" customHeight="1"/>
  <cols>
    <col min="1" max="1" width="12.140625" style="50" customWidth="1"/>
    <col min="2" max="2" width="7.7109375" style="108" customWidth="1"/>
    <col min="3" max="3" width="58.85546875" style="50" customWidth="1"/>
    <col min="4" max="4" width="42.7109375" style="50" customWidth="1"/>
    <col min="5" max="5" width="12.7109375" style="50" customWidth="1"/>
    <col min="6" max="9" width="8" style="87" customWidth="1"/>
    <col min="10" max="16384" width="9" style="50"/>
  </cols>
  <sheetData>
    <row r="1" spans="1:9" ht="20.100000000000001" customHeight="1">
      <c r="F1" s="245" t="s">
        <v>373</v>
      </c>
      <c r="G1" s="245"/>
      <c r="H1" s="245"/>
      <c r="I1" s="245"/>
    </row>
    <row r="2" spans="1:9" ht="20.100000000000001" customHeight="1">
      <c r="A2" s="124" t="s">
        <v>328</v>
      </c>
      <c r="B2" s="123" t="s">
        <v>327</v>
      </c>
      <c r="C2" s="125" t="s">
        <v>329</v>
      </c>
      <c r="D2" s="126" t="s">
        <v>361</v>
      </c>
      <c r="E2" s="87"/>
      <c r="F2" s="122" t="s">
        <v>327</v>
      </c>
      <c r="G2" s="87" t="s">
        <v>11</v>
      </c>
      <c r="H2" s="122" t="s">
        <v>327</v>
      </c>
      <c r="I2" s="87" t="s">
        <v>10</v>
      </c>
    </row>
    <row r="3" spans="1:9" ht="20.100000000000001" customHeight="1">
      <c r="A3" s="68" t="s">
        <v>239</v>
      </c>
      <c r="B3" s="107">
        <v>1031</v>
      </c>
      <c r="C3" s="88" t="s">
        <v>378</v>
      </c>
      <c r="D3" s="113" t="s">
        <v>377</v>
      </c>
      <c r="F3" s="122">
        <v>1</v>
      </c>
      <c r="G3" s="87" t="s">
        <v>29</v>
      </c>
      <c r="H3" s="122">
        <v>1</v>
      </c>
      <c r="I3" s="87" t="s">
        <v>22</v>
      </c>
    </row>
    <row r="4" spans="1:9" ht="20.100000000000001" customHeight="1">
      <c r="A4" s="68" t="s">
        <v>180</v>
      </c>
      <c r="B4" s="107">
        <v>9015</v>
      </c>
      <c r="C4" s="88" t="s">
        <v>379</v>
      </c>
      <c r="D4" s="67" t="s">
        <v>376</v>
      </c>
      <c r="F4" s="122">
        <v>2</v>
      </c>
      <c r="G4" s="87" t="s">
        <v>23</v>
      </c>
      <c r="H4" s="122">
        <v>2</v>
      </c>
      <c r="I4" s="87" t="s">
        <v>28</v>
      </c>
    </row>
    <row r="5" spans="1:9" ht="20.100000000000001" customHeight="1">
      <c r="A5" s="68" t="s">
        <v>241</v>
      </c>
      <c r="B5" s="107">
        <v>6032</v>
      </c>
      <c r="C5" s="88" t="s">
        <v>380</v>
      </c>
      <c r="D5" s="67" t="s">
        <v>352</v>
      </c>
      <c r="F5" s="122">
        <v>3</v>
      </c>
      <c r="G5" s="87" t="s">
        <v>151</v>
      </c>
    </row>
    <row r="6" spans="1:9" ht="20.100000000000001" customHeight="1">
      <c r="A6" s="68" t="s">
        <v>235</v>
      </c>
      <c r="B6" s="107">
        <v>7029</v>
      </c>
      <c r="C6" s="88" t="s">
        <v>381</v>
      </c>
      <c r="D6" s="67" t="s">
        <v>353</v>
      </c>
      <c r="F6" s="122">
        <v>4</v>
      </c>
      <c r="G6" s="87" t="s">
        <v>190</v>
      </c>
    </row>
    <row r="7" spans="1:9" ht="20.100000000000001" customHeight="1">
      <c r="A7" s="118" t="s">
        <v>247</v>
      </c>
      <c r="B7" s="107">
        <v>8035</v>
      </c>
      <c r="C7" s="88" t="s">
        <v>354</v>
      </c>
      <c r="D7" s="67" t="s">
        <v>355</v>
      </c>
    </row>
    <row r="8" spans="1:9" ht="20.100000000000001" customHeight="1">
      <c r="A8" s="68" t="s">
        <v>228</v>
      </c>
      <c r="B8" s="107">
        <v>5026</v>
      </c>
      <c r="C8" s="88" t="s">
        <v>358</v>
      </c>
      <c r="D8" s="67" t="s">
        <v>357</v>
      </c>
    </row>
    <row r="9" spans="1:9" ht="20.100000000000001" customHeight="1">
      <c r="A9" s="68" t="s">
        <v>231</v>
      </c>
      <c r="B9" s="107">
        <v>5027</v>
      </c>
      <c r="C9" s="88" t="s">
        <v>356</v>
      </c>
      <c r="D9" s="67" t="s">
        <v>357</v>
      </c>
    </row>
    <row r="10" spans="1:9" ht="20.100000000000001" customHeight="1">
      <c r="A10" s="68" t="s">
        <v>233</v>
      </c>
      <c r="B10" s="107">
        <v>5028</v>
      </c>
      <c r="C10" s="88" t="s">
        <v>359</v>
      </c>
      <c r="D10" s="67" t="s">
        <v>357</v>
      </c>
    </row>
    <row r="11" spans="1:9" ht="20.100000000000001" customHeight="1">
      <c r="A11" s="68" t="s">
        <v>21</v>
      </c>
      <c r="B11" s="107">
        <v>3001</v>
      </c>
      <c r="C11" s="12" t="s">
        <v>317</v>
      </c>
      <c r="D11" s="67" t="s">
        <v>348</v>
      </c>
    </row>
    <row r="12" spans="1:9" ht="20.100000000000001" customHeight="1">
      <c r="A12" s="117" t="s">
        <v>226</v>
      </c>
      <c r="B12" s="107">
        <v>3125</v>
      </c>
      <c r="C12" s="88" t="s">
        <v>382</v>
      </c>
      <c r="D12" s="67" t="s">
        <v>348</v>
      </c>
    </row>
    <row r="13" spans="1:9" ht="20.100000000000001" customHeight="1">
      <c r="A13" s="68" t="s">
        <v>46</v>
      </c>
      <c r="B13" s="107">
        <v>2002</v>
      </c>
      <c r="C13" s="88" t="s">
        <v>533</v>
      </c>
      <c r="D13" s="67" t="s">
        <v>350</v>
      </c>
    </row>
    <row r="14" spans="1:9" ht="20.100000000000001" customHeight="1">
      <c r="A14" s="68" t="s">
        <v>57</v>
      </c>
      <c r="B14" s="107">
        <v>2003</v>
      </c>
      <c r="C14" s="88" t="s">
        <v>534</v>
      </c>
      <c r="D14" s="67" t="s">
        <v>350</v>
      </c>
    </row>
    <row r="15" spans="1:9" ht="20.100000000000001" customHeight="1">
      <c r="A15" s="68" t="s">
        <v>66</v>
      </c>
      <c r="B15" s="107">
        <v>2004</v>
      </c>
      <c r="C15" s="88" t="s">
        <v>532</v>
      </c>
      <c r="D15" s="67" t="s">
        <v>350</v>
      </c>
    </row>
    <row r="16" spans="1:9" ht="20.100000000000001" customHeight="1">
      <c r="A16" s="68" t="s">
        <v>245</v>
      </c>
      <c r="B16" s="107">
        <v>2034</v>
      </c>
      <c r="C16" s="88" t="s">
        <v>543</v>
      </c>
      <c r="D16" s="67" t="s">
        <v>350</v>
      </c>
    </row>
    <row r="17" spans="1:7" ht="20.100000000000001" customHeight="1">
      <c r="A17" s="68" t="s">
        <v>249</v>
      </c>
      <c r="B17" s="107">
        <v>2036</v>
      </c>
      <c r="C17" s="88" t="s">
        <v>387</v>
      </c>
      <c r="D17" s="67" t="s">
        <v>350</v>
      </c>
    </row>
    <row r="18" spans="1:7" ht="20.100000000000001" customHeight="1">
      <c r="A18" s="68" t="s">
        <v>73</v>
      </c>
      <c r="B18" s="107">
        <v>1005</v>
      </c>
      <c r="C18" s="88" t="s">
        <v>319</v>
      </c>
      <c r="D18" s="67" t="s">
        <v>349</v>
      </c>
      <c r="F18" s="114">
        <v>1</v>
      </c>
      <c r="G18" s="115" t="s">
        <v>349</v>
      </c>
    </row>
    <row r="19" spans="1:7" ht="20.100000000000001" customHeight="1">
      <c r="A19" s="69" t="s">
        <v>77</v>
      </c>
      <c r="B19" s="107">
        <v>1006</v>
      </c>
      <c r="C19" s="88" t="s">
        <v>318</v>
      </c>
      <c r="D19" s="67" t="s">
        <v>349</v>
      </c>
      <c r="F19" s="114">
        <v>2</v>
      </c>
      <c r="G19" s="115" t="s">
        <v>350</v>
      </c>
    </row>
    <row r="20" spans="1:7" ht="20.100000000000001" customHeight="1">
      <c r="A20" s="68" t="s">
        <v>91</v>
      </c>
      <c r="B20" s="107">
        <v>1007</v>
      </c>
      <c r="C20" s="88" t="s">
        <v>320</v>
      </c>
      <c r="D20" s="67" t="s">
        <v>349</v>
      </c>
      <c r="F20" s="114">
        <v>3</v>
      </c>
      <c r="G20" s="115" t="s">
        <v>348</v>
      </c>
    </row>
    <row r="21" spans="1:7" ht="20.100000000000001" customHeight="1">
      <c r="A21" s="70" t="s">
        <v>97</v>
      </c>
      <c r="B21" s="107">
        <v>1008</v>
      </c>
      <c r="C21" s="88" t="s">
        <v>321</v>
      </c>
      <c r="D21" s="67" t="s">
        <v>349</v>
      </c>
      <c r="F21" s="114">
        <v>4</v>
      </c>
      <c r="G21" s="115" t="s">
        <v>360</v>
      </c>
    </row>
    <row r="22" spans="1:7" ht="20.100000000000001" customHeight="1">
      <c r="A22" s="70" t="s">
        <v>101</v>
      </c>
      <c r="B22" s="107">
        <v>1009</v>
      </c>
      <c r="C22" s="88" t="s">
        <v>322</v>
      </c>
      <c r="D22" s="67" t="s">
        <v>349</v>
      </c>
      <c r="F22" s="114">
        <v>5</v>
      </c>
      <c r="G22" s="115" t="s">
        <v>357</v>
      </c>
    </row>
    <row r="23" spans="1:7" ht="20.100000000000001" customHeight="1">
      <c r="A23" s="70" t="s">
        <v>105</v>
      </c>
      <c r="B23" s="107">
        <v>1010</v>
      </c>
      <c r="C23" s="88" t="s">
        <v>324</v>
      </c>
      <c r="D23" s="67" t="s">
        <v>349</v>
      </c>
      <c r="F23" s="114">
        <v>6</v>
      </c>
      <c r="G23" s="115" t="s">
        <v>352</v>
      </c>
    </row>
    <row r="24" spans="1:7" ht="20.100000000000001" customHeight="1">
      <c r="A24" s="70" t="s">
        <v>126</v>
      </c>
      <c r="B24" s="107">
        <v>1011</v>
      </c>
      <c r="C24" s="88" t="s">
        <v>323</v>
      </c>
      <c r="D24" s="67" t="s">
        <v>349</v>
      </c>
      <c r="F24" s="114">
        <v>7</v>
      </c>
      <c r="G24" s="115" t="s">
        <v>353</v>
      </c>
    </row>
    <row r="25" spans="1:7" ht="20.100000000000001" customHeight="1">
      <c r="A25" s="68" t="s">
        <v>180</v>
      </c>
      <c r="B25" s="107">
        <v>1014</v>
      </c>
      <c r="C25" s="88" t="s">
        <v>538</v>
      </c>
      <c r="D25" s="67" t="s">
        <v>349</v>
      </c>
      <c r="F25" s="114">
        <v>8</v>
      </c>
      <c r="G25" s="115" t="s">
        <v>355</v>
      </c>
    </row>
    <row r="26" spans="1:7" ht="20.100000000000001" customHeight="1">
      <c r="A26" s="68" t="s">
        <v>180</v>
      </c>
      <c r="B26" s="107">
        <v>1016</v>
      </c>
      <c r="C26" s="88" t="s">
        <v>539</v>
      </c>
      <c r="D26" s="67" t="s">
        <v>349</v>
      </c>
      <c r="F26" s="114">
        <v>9</v>
      </c>
      <c r="G26" s="116" t="s">
        <v>376</v>
      </c>
    </row>
    <row r="27" spans="1:7" ht="20.100000000000001" customHeight="1">
      <c r="A27" s="70" t="s">
        <v>187</v>
      </c>
      <c r="B27" s="107">
        <v>1017</v>
      </c>
      <c r="C27" s="88" t="s">
        <v>388</v>
      </c>
      <c r="D27" s="67" t="s">
        <v>349</v>
      </c>
      <c r="F27" s="114">
        <v>10</v>
      </c>
      <c r="G27" s="115" t="s">
        <v>377</v>
      </c>
    </row>
    <row r="28" spans="1:7" ht="20.100000000000001" customHeight="1">
      <c r="A28" s="70" t="s">
        <v>194</v>
      </c>
      <c r="B28" s="107">
        <v>1018</v>
      </c>
      <c r="C28" s="88" t="s">
        <v>389</v>
      </c>
      <c r="D28" s="67" t="s">
        <v>349</v>
      </c>
    </row>
    <row r="29" spans="1:7" ht="20.100000000000001" customHeight="1">
      <c r="A29" s="68" t="s">
        <v>203</v>
      </c>
      <c r="B29" s="107">
        <v>1020</v>
      </c>
      <c r="C29" s="88" t="s">
        <v>540</v>
      </c>
      <c r="D29" s="67" t="s">
        <v>349</v>
      </c>
      <c r="G29" s="52"/>
    </row>
    <row r="30" spans="1:7" ht="20.100000000000001" customHeight="1">
      <c r="A30" s="68" t="s">
        <v>208</v>
      </c>
      <c r="B30" s="107">
        <v>1021</v>
      </c>
      <c r="C30" s="88" t="s">
        <v>541</v>
      </c>
      <c r="D30" s="67" t="s">
        <v>349</v>
      </c>
      <c r="G30" s="52"/>
    </row>
    <row r="31" spans="1:7" ht="20.100000000000001" customHeight="1">
      <c r="A31" s="68" t="s">
        <v>220</v>
      </c>
      <c r="B31" s="107">
        <v>1023</v>
      </c>
      <c r="C31" s="88" t="s">
        <v>391</v>
      </c>
      <c r="D31" s="67" t="s">
        <v>349</v>
      </c>
      <c r="G31" s="52"/>
    </row>
    <row r="32" spans="1:7" ht="20.100000000000001" customHeight="1">
      <c r="A32" s="68" t="s">
        <v>223</v>
      </c>
      <c r="B32" s="107">
        <v>1024</v>
      </c>
      <c r="C32" s="88" t="s">
        <v>392</v>
      </c>
      <c r="D32" s="67" t="s">
        <v>349</v>
      </c>
    </row>
    <row r="33" spans="1:7" ht="20.100000000000001" customHeight="1">
      <c r="A33" s="68" t="s">
        <v>243</v>
      </c>
      <c r="B33" s="107">
        <v>1033</v>
      </c>
      <c r="C33" s="88" t="s">
        <v>542</v>
      </c>
      <c r="D33" s="67" t="s">
        <v>349</v>
      </c>
    </row>
    <row r="34" spans="1:7" ht="20.100000000000001" customHeight="1">
      <c r="A34" s="68" t="s">
        <v>251</v>
      </c>
      <c r="B34" s="107">
        <v>1037</v>
      </c>
      <c r="C34" s="88" t="s">
        <v>393</v>
      </c>
      <c r="D34" s="67" t="s">
        <v>349</v>
      </c>
    </row>
    <row r="35" spans="1:7" ht="20.100000000000001" customHeight="1">
      <c r="A35" s="68" t="s">
        <v>163</v>
      </c>
      <c r="B35" s="107">
        <v>4012</v>
      </c>
      <c r="C35" s="88" t="s">
        <v>325</v>
      </c>
      <c r="D35" s="67" t="s">
        <v>360</v>
      </c>
    </row>
    <row r="36" spans="1:7" ht="20.100000000000001" customHeight="1">
      <c r="A36" s="70" t="s">
        <v>171</v>
      </c>
      <c r="B36" s="107">
        <v>4013</v>
      </c>
      <c r="C36" s="88" t="s">
        <v>326</v>
      </c>
      <c r="D36" s="67" t="s">
        <v>360</v>
      </c>
      <c r="G36" s="52"/>
    </row>
    <row r="37" spans="1:7" ht="20.100000000000001" customHeight="1">
      <c r="A37" s="70" t="s">
        <v>210</v>
      </c>
      <c r="B37" s="107">
        <v>4022</v>
      </c>
      <c r="C37" s="88" t="s">
        <v>351</v>
      </c>
      <c r="D37" s="67" t="s">
        <v>360</v>
      </c>
    </row>
    <row r="38" spans="1:7" ht="20.100000000000001" customHeight="1">
      <c r="A38" s="70" t="s">
        <v>237</v>
      </c>
      <c r="B38" s="107">
        <v>4030</v>
      </c>
      <c r="C38" s="88" t="s">
        <v>535</v>
      </c>
      <c r="D38" s="67" t="s">
        <v>360</v>
      </c>
    </row>
    <row r="39" spans="1:7" ht="20.100000000000001" customHeight="1">
      <c r="A39" s="68"/>
      <c r="B39" s="107">
        <v>1</v>
      </c>
      <c r="C39" s="88" t="s">
        <v>536</v>
      </c>
      <c r="D39" s="67"/>
    </row>
    <row r="40" spans="1:7" ht="20.100000000000001" customHeight="1">
      <c r="A40" s="67"/>
      <c r="B40" s="107">
        <v>2</v>
      </c>
      <c r="C40" s="88" t="s">
        <v>546</v>
      </c>
      <c r="D40" s="67"/>
    </row>
  </sheetData>
  <mergeCells count="1">
    <mergeCell ref="F1:I1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7AF1-E0C3-4F90-8D08-889B6776D0C3}">
  <dimension ref="A2:H49"/>
  <sheetViews>
    <sheetView tabSelected="1" topLeftCell="A25" workbookViewId="0">
      <selection activeCell="M34" sqref="M34"/>
    </sheetView>
  </sheetViews>
  <sheetFormatPr defaultColWidth="9" defaultRowHeight="20.100000000000001" customHeight="1"/>
  <cols>
    <col min="1" max="1" width="9" style="50"/>
    <col min="2" max="2" width="57.28515625" style="50" customWidth="1"/>
    <col min="3" max="3" width="14" style="50" customWidth="1"/>
    <col min="4" max="4" width="14.85546875" style="50" customWidth="1"/>
    <col min="5" max="8" width="13" style="75" customWidth="1"/>
    <col min="9" max="16384" width="9" style="50"/>
  </cols>
  <sheetData>
    <row r="2" spans="1:8" ht="20.100000000000001" customHeight="1">
      <c r="E2" s="81" t="s">
        <v>338</v>
      </c>
      <c r="F2" s="81" t="s">
        <v>339</v>
      </c>
      <c r="G2" s="81" t="s">
        <v>340</v>
      </c>
      <c r="H2" s="81" t="s">
        <v>341</v>
      </c>
    </row>
    <row r="3" spans="1:8" ht="20.100000000000001" customHeight="1">
      <c r="A3" s="71">
        <v>3001</v>
      </c>
      <c r="B3" s="71" t="s">
        <v>317</v>
      </c>
      <c r="C3" s="19" t="s">
        <v>21</v>
      </c>
      <c r="D3" s="76"/>
      <c r="E3" s="82">
        <v>7</v>
      </c>
      <c r="F3" s="82">
        <v>16</v>
      </c>
      <c r="G3" s="82">
        <v>16</v>
      </c>
      <c r="H3" s="82">
        <v>17</v>
      </c>
    </row>
    <row r="4" spans="1:8" ht="20.100000000000001" customHeight="1">
      <c r="A4" s="71">
        <v>2002</v>
      </c>
      <c r="B4" s="71" t="s">
        <v>533</v>
      </c>
      <c r="C4" s="19" t="s">
        <v>46</v>
      </c>
      <c r="D4" s="76"/>
      <c r="E4" s="82">
        <v>7</v>
      </c>
      <c r="F4" s="82">
        <v>16</v>
      </c>
      <c r="G4" s="82">
        <v>16</v>
      </c>
      <c r="H4" s="82">
        <v>17</v>
      </c>
    </row>
    <row r="5" spans="1:8" ht="20.100000000000001" customHeight="1">
      <c r="A5" s="71">
        <v>2003</v>
      </c>
      <c r="B5" s="71" t="s">
        <v>534</v>
      </c>
      <c r="C5" s="19" t="s">
        <v>57</v>
      </c>
      <c r="D5" s="76"/>
      <c r="E5" s="82">
        <v>7</v>
      </c>
      <c r="F5" s="82">
        <v>16</v>
      </c>
      <c r="G5" s="82">
        <v>16</v>
      </c>
      <c r="H5" s="82">
        <v>17</v>
      </c>
    </row>
    <row r="6" spans="1:8" ht="20.100000000000001" customHeight="1">
      <c r="A6" s="71">
        <v>2004</v>
      </c>
      <c r="B6" s="71" t="s">
        <v>532</v>
      </c>
      <c r="C6" s="19" t="s">
        <v>66</v>
      </c>
      <c r="D6" s="76"/>
      <c r="E6" s="82">
        <v>6.3</v>
      </c>
      <c r="F6" s="82">
        <v>15.3</v>
      </c>
      <c r="G6" s="82">
        <v>15.3</v>
      </c>
      <c r="H6" s="82">
        <v>16.3</v>
      </c>
    </row>
    <row r="7" spans="1:8" ht="20.100000000000001" customHeight="1">
      <c r="A7" s="71">
        <v>1005</v>
      </c>
      <c r="B7" s="71" t="s">
        <v>319</v>
      </c>
      <c r="C7" s="19" t="s">
        <v>73</v>
      </c>
      <c r="D7" s="76" t="s">
        <v>342</v>
      </c>
      <c r="E7" s="82">
        <v>7</v>
      </c>
      <c r="F7" s="82">
        <v>16</v>
      </c>
      <c r="G7" s="82">
        <v>16</v>
      </c>
      <c r="H7" s="82">
        <v>18</v>
      </c>
    </row>
    <row r="8" spans="1:8" ht="20.100000000000001" customHeight="1">
      <c r="A8" s="83">
        <v>1005</v>
      </c>
      <c r="B8" s="83" t="s">
        <v>319</v>
      </c>
      <c r="C8" s="84" t="s">
        <v>73</v>
      </c>
      <c r="D8" s="85" t="s">
        <v>343</v>
      </c>
      <c r="E8" s="86">
        <v>19.3</v>
      </c>
      <c r="F8" s="86">
        <v>4.3</v>
      </c>
      <c r="G8" s="86"/>
      <c r="H8" s="86"/>
    </row>
    <row r="9" spans="1:8" ht="20.100000000000001" customHeight="1">
      <c r="A9" s="71">
        <v>1005</v>
      </c>
      <c r="B9" s="71" t="s">
        <v>319</v>
      </c>
      <c r="C9" s="19" t="s">
        <v>73</v>
      </c>
      <c r="D9" s="76" t="s">
        <v>65</v>
      </c>
      <c r="E9" s="82">
        <v>7</v>
      </c>
      <c r="F9" s="82">
        <v>16</v>
      </c>
      <c r="G9" s="82">
        <v>16</v>
      </c>
      <c r="H9" s="82">
        <v>17</v>
      </c>
    </row>
    <row r="10" spans="1:8" ht="20.100000000000001" customHeight="1">
      <c r="A10" s="71">
        <v>1006</v>
      </c>
      <c r="B10" s="71" t="s">
        <v>318</v>
      </c>
      <c r="C10" s="5" t="s">
        <v>77</v>
      </c>
      <c r="D10" s="77" t="s">
        <v>27</v>
      </c>
      <c r="E10" s="82">
        <v>7</v>
      </c>
      <c r="F10" s="82">
        <v>16</v>
      </c>
      <c r="G10" s="82">
        <v>16</v>
      </c>
      <c r="H10" s="82">
        <v>17.3</v>
      </c>
    </row>
    <row r="11" spans="1:8" ht="20.100000000000001" customHeight="1">
      <c r="A11" s="71">
        <v>1006</v>
      </c>
      <c r="B11" s="71" t="s">
        <v>318</v>
      </c>
      <c r="C11" s="5" t="s">
        <v>77</v>
      </c>
      <c r="D11" s="77" t="s">
        <v>65</v>
      </c>
      <c r="E11" s="82">
        <v>7</v>
      </c>
      <c r="F11" s="82">
        <v>16</v>
      </c>
      <c r="G11" s="82">
        <v>16</v>
      </c>
      <c r="H11" s="82">
        <v>17.3</v>
      </c>
    </row>
    <row r="12" spans="1:8" ht="20.100000000000001" customHeight="1">
      <c r="A12" s="71">
        <v>1007</v>
      </c>
      <c r="B12" s="71" t="s">
        <v>320</v>
      </c>
      <c r="C12" s="19" t="s">
        <v>91</v>
      </c>
      <c r="D12" s="76"/>
      <c r="E12" s="82">
        <v>6.3</v>
      </c>
      <c r="F12" s="82">
        <v>15.3</v>
      </c>
      <c r="G12" s="82">
        <v>15.3</v>
      </c>
      <c r="H12" s="82">
        <v>16.3</v>
      </c>
    </row>
    <row r="13" spans="1:8" ht="20.100000000000001" customHeight="1">
      <c r="A13" s="71">
        <v>1008</v>
      </c>
      <c r="B13" s="71" t="s">
        <v>321</v>
      </c>
      <c r="C13" s="19" t="s">
        <v>97</v>
      </c>
      <c r="D13" s="76" t="s">
        <v>27</v>
      </c>
      <c r="E13" s="82">
        <v>6.3</v>
      </c>
      <c r="F13" s="82">
        <v>15.3</v>
      </c>
      <c r="G13" s="82"/>
      <c r="H13" s="82"/>
    </row>
    <row r="14" spans="1:8" ht="20.100000000000001" customHeight="1">
      <c r="A14" s="71">
        <v>1008</v>
      </c>
      <c r="B14" s="71" t="s">
        <v>321</v>
      </c>
      <c r="C14" s="19" t="s">
        <v>97</v>
      </c>
      <c r="D14" s="76" t="s">
        <v>65</v>
      </c>
      <c r="E14" s="82">
        <v>7</v>
      </c>
      <c r="F14" s="82">
        <v>16</v>
      </c>
      <c r="G14" s="82"/>
      <c r="H14" s="82"/>
    </row>
    <row r="15" spans="1:8" ht="20.100000000000001" customHeight="1">
      <c r="A15" s="71">
        <v>1009</v>
      </c>
      <c r="B15" s="71" t="s">
        <v>322</v>
      </c>
      <c r="C15" s="19" t="s">
        <v>101</v>
      </c>
      <c r="D15" s="76" t="s">
        <v>344</v>
      </c>
      <c r="E15" s="82">
        <v>6.3</v>
      </c>
      <c r="F15" s="82">
        <v>15.3</v>
      </c>
      <c r="G15" s="82">
        <v>15.3</v>
      </c>
      <c r="H15" s="82">
        <v>17</v>
      </c>
    </row>
    <row r="16" spans="1:8" ht="20.100000000000001" customHeight="1">
      <c r="A16" s="71">
        <v>1009</v>
      </c>
      <c r="B16" s="71" t="s">
        <v>322</v>
      </c>
      <c r="C16" s="19" t="s">
        <v>101</v>
      </c>
      <c r="D16" s="76"/>
      <c r="E16" s="82">
        <v>7</v>
      </c>
      <c r="F16" s="82">
        <v>16</v>
      </c>
      <c r="G16" s="82">
        <v>16</v>
      </c>
      <c r="H16" s="82">
        <v>17</v>
      </c>
    </row>
    <row r="17" spans="1:8" ht="20.100000000000001" customHeight="1">
      <c r="A17" s="71">
        <v>1010</v>
      </c>
      <c r="B17" s="71" t="s">
        <v>324</v>
      </c>
      <c r="C17" s="19" t="s">
        <v>105</v>
      </c>
      <c r="D17" s="76"/>
      <c r="E17" s="82">
        <v>7</v>
      </c>
      <c r="F17" s="82">
        <v>16</v>
      </c>
      <c r="G17" s="82">
        <v>16</v>
      </c>
      <c r="H17" s="82">
        <v>17</v>
      </c>
    </row>
    <row r="18" spans="1:8" ht="20.100000000000001" customHeight="1">
      <c r="A18" s="71">
        <v>1011</v>
      </c>
      <c r="B18" s="71" t="s">
        <v>323</v>
      </c>
      <c r="C18" s="19" t="s">
        <v>126</v>
      </c>
      <c r="D18" s="76" t="s">
        <v>345</v>
      </c>
      <c r="E18" s="82">
        <v>7.3</v>
      </c>
      <c r="F18" s="82">
        <v>16.3</v>
      </c>
      <c r="G18" s="82">
        <v>16.5</v>
      </c>
      <c r="H18" s="82">
        <v>18.5</v>
      </c>
    </row>
    <row r="19" spans="1:8" ht="20.100000000000001" customHeight="1">
      <c r="A19" s="83">
        <v>1011</v>
      </c>
      <c r="B19" s="83" t="s">
        <v>323</v>
      </c>
      <c r="C19" s="84" t="s">
        <v>126</v>
      </c>
      <c r="D19" s="85" t="s">
        <v>346</v>
      </c>
      <c r="E19" s="86">
        <v>19.3</v>
      </c>
      <c r="F19" s="86">
        <v>4.3</v>
      </c>
      <c r="G19" s="86">
        <v>4.5</v>
      </c>
      <c r="H19" s="86">
        <v>6.5</v>
      </c>
    </row>
    <row r="20" spans="1:8" ht="20.100000000000001" customHeight="1">
      <c r="A20" s="71">
        <v>4012</v>
      </c>
      <c r="B20" s="71" t="s">
        <v>325</v>
      </c>
      <c r="C20" s="19" t="s">
        <v>163</v>
      </c>
      <c r="D20" s="76"/>
      <c r="E20" s="82">
        <v>7.3</v>
      </c>
      <c r="F20" s="82">
        <v>16.3</v>
      </c>
      <c r="G20" s="82"/>
      <c r="H20" s="82"/>
    </row>
    <row r="21" spans="1:8" ht="20.100000000000001" customHeight="1">
      <c r="A21" s="71">
        <v>4013</v>
      </c>
      <c r="B21" s="71" t="s">
        <v>326</v>
      </c>
      <c r="C21" s="19" t="s">
        <v>171</v>
      </c>
      <c r="D21" s="76"/>
      <c r="E21" s="82">
        <v>7.3</v>
      </c>
      <c r="F21" s="82">
        <v>16.3</v>
      </c>
      <c r="G21" s="82"/>
      <c r="H21" s="82"/>
    </row>
    <row r="22" spans="1:8" ht="20.100000000000001" customHeight="1">
      <c r="A22" s="71">
        <v>1014</v>
      </c>
      <c r="B22" s="71" t="s">
        <v>538</v>
      </c>
      <c r="C22" s="19" t="s">
        <v>180</v>
      </c>
      <c r="D22" s="76"/>
      <c r="E22" s="82">
        <v>8</v>
      </c>
      <c r="F22" s="82">
        <v>17</v>
      </c>
      <c r="G22" s="82"/>
      <c r="H22" s="82"/>
    </row>
    <row r="23" spans="1:8" ht="20.100000000000001" customHeight="1">
      <c r="A23" s="71">
        <v>1016</v>
      </c>
      <c r="B23" s="71" t="s">
        <v>539</v>
      </c>
      <c r="C23" s="19" t="s">
        <v>180</v>
      </c>
      <c r="D23" s="76"/>
      <c r="E23" s="82">
        <v>8</v>
      </c>
      <c r="F23" s="82">
        <v>17</v>
      </c>
      <c r="G23" s="82"/>
      <c r="H23" s="82"/>
    </row>
    <row r="24" spans="1:8" ht="20.100000000000001" customHeight="1">
      <c r="A24" s="71">
        <v>9015</v>
      </c>
      <c r="B24" s="71" t="s">
        <v>537</v>
      </c>
      <c r="C24" s="19" t="s">
        <v>180</v>
      </c>
      <c r="D24" s="76"/>
      <c r="E24" s="82">
        <v>8</v>
      </c>
      <c r="F24" s="82">
        <v>17</v>
      </c>
      <c r="G24" s="82"/>
      <c r="H24" s="82"/>
    </row>
    <row r="25" spans="1:8" ht="20.100000000000001" customHeight="1">
      <c r="A25" s="71">
        <v>1017</v>
      </c>
      <c r="B25" s="71" t="s">
        <v>388</v>
      </c>
      <c r="C25" s="19" t="s">
        <v>187</v>
      </c>
      <c r="D25" s="76" t="s">
        <v>27</v>
      </c>
      <c r="E25" s="82">
        <v>7</v>
      </c>
      <c r="F25" s="82">
        <v>16</v>
      </c>
      <c r="G25" s="82">
        <v>16</v>
      </c>
      <c r="H25" s="82">
        <v>17</v>
      </c>
    </row>
    <row r="26" spans="1:8" ht="20.100000000000001" customHeight="1">
      <c r="A26" s="71">
        <v>1017</v>
      </c>
      <c r="B26" s="71" t="s">
        <v>388</v>
      </c>
      <c r="C26" s="19" t="s">
        <v>187</v>
      </c>
      <c r="D26" s="76" t="s">
        <v>65</v>
      </c>
      <c r="E26" s="82">
        <v>8</v>
      </c>
      <c r="F26" s="82">
        <v>17</v>
      </c>
      <c r="G26" s="82"/>
      <c r="H26" s="82"/>
    </row>
    <row r="27" spans="1:8" ht="20.100000000000001" customHeight="1">
      <c r="A27" s="71">
        <v>1018</v>
      </c>
      <c r="B27" s="71" t="s">
        <v>389</v>
      </c>
      <c r="C27" s="19" t="s">
        <v>194</v>
      </c>
      <c r="D27" s="76"/>
      <c r="E27" s="82">
        <v>7.3</v>
      </c>
      <c r="F27" s="82">
        <v>16.3</v>
      </c>
      <c r="G27" s="82"/>
      <c r="H27" s="82"/>
    </row>
    <row r="28" spans="1:8" ht="20.100000000000001" customHeight="1">
      <c r="A28" s="71">
        <v>1020</v>
      </c>
      <c r="B28" s="229" t="s">
        <v>540</v>
      </c>
      <c r="C28" s="14" t="s">
        <v>203</v>
      </c>
      <c r="D28" s="78"/>
      <c r="E28" s="82">
        <v>7.3</v>
      </c>
      <c r="F28" s="82">
        <v>16.3</v>
      </c>
      <c r="G28" s="82"/>
      <c r="H28" s="82"/>
    </row>
    <row r="29" spans="1:8" ht="20.100000000000001" customHeight="1">
      <c r="A29" s="71">
        <v>1021</v>
      </c>
      <c r="B29" s="229" t="s">
        <v>541</v>
      </c>
      <c r="C29" s="14" t="s">
        <v>208</v>
      </c>
      <c r="D29" s="78"/>
      <c r="E29" s="82">
        <v>7.3</v>
      </c>
      <c r="F29" s="82">
        <v>16.3</v>
      </c>
      <c r="G29" s="82"/>
      <c r="H29" s="82"/>
    </row>
    <row r="30" spans="1:8" ht="20.100000000000001" customHeight="1">
      <c r="A30" s="71">
        <v>4022</v>
      </c>
      <c r="B30" s="229" t="s">
        <v>351</v>
      </c>
      <c r="C30" s="14" t="s">
        <v>210</v>
      </c>
      <c r="D30" s="78" t="s">
        <v>347</v>
      </c>
      <c r="E30" s="82">
        <v>6</v>
      </c>
      <c r="F30" s="82">
        <v>15</v>
      </c>
      <c r="G30" s="82"/>
      <c r="H30" s="82"/>
    </row>
    <row r="31" spans="1:8" ht="20.100000000000001" customHeight="1">
      <c r="A31" s="71">
        <v>4022</v>
      </c>
      <c r="B31" s="229" t="s">
        <v>351</v>
      </c>
      <c r="C31" s="14" t="s">
        <v>210</v>
      </c>
      <c r="D31" s="78" t="s">
        <v>27</v>
      </c>
      <c r="E31" s="82">
        <v>7.3</v>
      </c>
      <c r="F31" s="82">
        <v>16.3</v>
      </c>
      <c r="G31" s="82"/>
      <c r="H31" s="82"/>
    </row>
    <row r="32" spans="1:8" ht="20.100000000000001" customHeight="1">
      <c r="A32" s="71">
        <v>4022</v>
      </c>
      <c r="B32" s="229" t="s">
        <v>351</v>
      </c>
      <c r="C32" s="14" t="s">
        <v>210</v>
      </c>
      <c r="D32" s="78" t="s">
        <v>123</v>
      </c>
      <c r="E32" s="82">
        <v>7.3</v>
      </c>
      <c r="F32" s="82">
        <v>16.3</v>
      </c>
      <c r="G32" s="82"/>
      <c r="H32" s="82"/>
    </row>
    <row r="33" spans="1:8" ht="20.100000000000001" customHeight="1">
      <c r="A33" s="71">
        <v>1023</v>
      </c>
      <c r="B33" s="71" t="s">
        <v>391</v>
      </c>
      <c r="C33" s="19" t="s">
        <v>220</v>
      </c>
      <c r="D33" s="76"/>
      <c r="E33" s="82">
        <v>6</v>
      </c>
      <c r="F33" s="82">
        <v>15</v>
      </c>
      <c r="G33" s="82">
        <v>15</v>
      </c>
      <c r="H33" s="82">
        <v>16</v>
      </c>
    </row>
    <row r="34" spans="1:8" ht="20.100000000000001" customHeight="1">
      <c r="A34" s="71">
        <v>1024</v>
      </c>
      <c r="B34" s="71" t="s">
        <v>392</v>
      </c>
      <c r="C34" s="19" t="s">
        <v>223</v>
      </c>
      <c r="D34" s="76"/>
      <c r="E34" s="82">
        <v>6.3</v>
      </c>
      <c r="F34" s="82">
        <v>15.3</v>
      </c>
      <c r="G34" s="82"/>
      <c r="H34" s="82"/>
    </row>
    <row r="35" spans="1:8" ht="20.100000000000001" customHeight="1">
      <c r="A35" s="71">
        <v>3125</v>
      </c>
      <c r="B35" s="229" t="s">
        <v>382</v>
      </c>
      <c r="C35" s="3" t="s">
        <v>226</v>
      </c>
      <c r="D35" s="79"/>
      <c r="E35" s="82">
        <v>7.3</v>
      </c>
      <c r="F35" s="82">
        <v>16.3</v>
      </c>
      <c r="G35" s="82">
        <v>16.3</v>
      </c>
      <c r="H35" s="82">
        <v>17.3</v>
      </c>
    </row>
    <row r="36" spans="1:8" ht="20.100000000000001" customHeight="1">
      <c r="A36" s="71">
        <v>5026</v>
      </c>
      <c r="B36" s="229" t="s">
        <v>358</v>
      </c>
      <c r="C36" s="14" t="s">
        <v>228</v>
      </c>
      <c r="D36" s="78"/>
      <c r="E36" s="82">
        <v>7</v>
      </c>
      <c r="F36" s="82">
        <v>16</v>
      </c>
      <c r="G36" s="82">
        <v>16</v>
      </c>
      <c r="H36" s="82">
        <v>17</v>
      </c>
    </row>
    <row r="37" spans="1:8" ht="20.100000000000001" customHeight="1">
      <c r="A37" s="71">
        <v>5027</v>
      </c>
      <c r="B37" s="71" t="s">
        <v>356</v>
      </c>
      <c r="C37" s="19" t="s">
        <v>231</v>
      </c>
      <c r="D37" s="76"/>
      <c r="E37" s="82">
        <v>7</v>
      </c>
      <c r="F37" s="82">
        <v>16</v>
      </c>
      <c r="G37" s="82"/>
      <c r="H37" s="82"/>
    </row>
    <row r="38" spans="1:8" ht="20.100000000000001" customHeight="1">
      <c r="A38" s="71">
        <v>5028</v>
      </c>
      <c r="B38" s="71" t="s">
        <v>359</v>
      </c>
      <c r="C38" s="19" t="s">
        <v>233</v>
      </c>
      <c r="D38" s="76"/>
      <c r="E38" s="82">
        <v>7</v>
      </c>
      <c r="F38" s="82">
        <v>16</v>
      </c>
      <c r="G38" s="82"/>
      <c r="H38" s="82"/>
    </row>
    <row r="39" spans="1:8" ht="20.100000000000001" customHeight="1">
      <c r="A39" s="71">
        <v>7029</v>
      </c>
      <c r="B39" s="71" t="s">
        <v>381</v>
      </c>
      <c r="C39" s="19" t="s">
        <v>235</v>
      </c>
      <c r="D39" s="76"/>
      <c r="E39" s="82">
        <v>7.3</v>
      </c>
      <c r="F39" s="82">
        <v>16.3</v>
      </c>
      <c r="G39" s="82"/>
      <c r="H39" s="82"/>
    </row>
    <row r="40" spans="1:8" ht="20.100000000000001" customHeight="1">
      <c r="A40" s="71">
        <v>4030</v>
      </c>
      <c r="B40" s="71" t="s">
        <v>535</v>
      </c>
      <c r="C40" s="19" t="s">
        <v>237</v>
      </c>
      <c r="D40" s="76"/>
      <c r="E40" s="82">
        <v>7</v>
      </c>
      <c r="F40" s="82">
        <v>16</v>
      </c>
      <c r="G40" s="82"/>
      <c r="H40" s="82"/>
    </row>
    <row r="41" spans="1:8" ht="20.100000000000001" customHeight="1">
      <c r="A41" s="71">
        <v>1031</v>
      </c>
      <c r="B41" s="71" t="s">
        <v>378</v>
      </c>
      <c r="C41" s="19" t="s">
        <v>239</v>
      </c>
      <c r="D41" s="76"/>
      <c r="E41" s="82">
        <v>7.3</v>
      </c>
      <c r="F41" s="82">
        <v>16.3</v>
      </c>
      <c r="G41" s="82"/>
      <c r="H41" s="82"/>
    </row>
    <row r="42" spans="1:8" ht="20.100000000000001" customHeight="1">
      <c r="A42" s="107">
        <v>6032</v>
      </c>
      <c r="B42" s="135" t="s">
        <v>380</v>
      </c>
      <c r="C42" s="19" t="s">
        <v>241</v>
      </c>
      <c r="D42" s="76"/>
      <c r="E42" s="82">
        <v>8</v>
      </c>
      <c r="F42" s="82">
        <v>17</v>
      </c>
      <c r="G42" s="82"/>
      <c r="H42" s="82"/>
    </row>
    <row r="43" spans="1:8" ht="20.100000000000001" customHeight="1">
      <c r="A43" s="71">
        <v>1033</v>
      </c>
      <c r="B43" s="71" t="s">
        <v>542</v>
      </c>
      <c r="C43" s="19" t="s">
        <v>243</v>
      </c>
      <c r="D43" s="76"/>
      <c r="E43" s="82">
        <v>7</v>
      </c>
      <c r="F43" s="82">
        <v>16</v>
      </c>
      <c r="G43" s="82"/>
      <c r="H43" s="82"/>
    </row>
    <row r="44" spans="1:8" ht="20.100000000000001" customHeight="1">
      <c r="A44" s="71">
        <v>2034</v>
      </c>
      <c r="B44" s="71" t="s">
        <v>543</v>
      </c>
      <c r="C44" s="19" t="s">
        <v>245</v>
      </c>
      <c r="D44" s="76"/>
      <c r="E44" s="82">
        <v>8</v>
      </c>
      <c r="F44" s="82">
        <v>17</v>
      </c>
      <c r="G44" s="82"/>
      <c r="H44" s="82"/>
    </row>
    <row r="45" spans="1:8" ht="20.100000000000001" customHeight="1">
      <c r="A45" s="71">
        <v>8035</v>
      </c>
      <c r="B45" s="229" t="s">
        <v>354</v>
      </c>
      <c r="C45" s="27" t="s">
        <v>247</v>
      </c>
      <c r="D45" s="80"/>
      <c r="E45" s="82">
        <v>8</v>
      </c>
      <c r="F45" s="82">
        <v>17</v>
      </c>
      <c r="G45" s="82"/>
      <c r="H45" s="82"/>
    </row>
    <row r="46" spans="1:8" ht="20.100000000000001" customHeight="1">
      <c r="A46" s="71">
        <v>2036</v>
      </c>
      <c r="B46" s="229" t="s">
        <v>387</v>
      </c>
      <c r="C46" s="14" t="s">
        <v>249</v>
      </c>
      <c r="D46" s="78"/>
      <c r="E46" s="82">
        <v>7</v>
      </c>
      <c r="F46" s="82">
        <v>16</v>
      </c>
      <c r="G46" s="82"/>
      <c r="H46" s="82"/>
    </row>
    <row r="47" spans="1:8" ht="20.100000000000001" customHeight="1">
      <c r="A47" s="71">
        <v>1037</v>
      </c>
      <c r="B47" s="229" t="s">
        <v>393</v>
      </c>
      <c r="C47" s="14" t="s">
        <v>251</v>
      </c>
      <c r="D47" s="78"/>
      <c r="E47" s="82">
        <v>7</v>
      </c>
      <c r="F47" s="82">
        <v>17</v>
      </c>
      <c r="G47" s="82"/>
      <c r="H47" s="82"/>
    </row>
    <row r="48" spans="1:8" ht="20.100000000000001" customHeight="1">
      <c r="A48" s="107">
        <v>1</v>
      </c>
      <c r="B48" s="71" t="s">
        <v>536</v>
      </c>
      <c r="C48" s="26" t="s">
        <v>547</v>
      </c>
      <c r="D48" s="26"/>
      <c r="E48" s="82">
        <v>8</v>
      </c>
      <c r="F48" s="82">
        <v>17</v>
      </c>
      <c r="G48" s="82"/>
      <c r="H48" s="82"/>
    </row>
    <row r="49" spans="1:8" ht="20.100000000000001" customHeight="1">
      <c r="A49" s="107">
        <v>2</v>
      </c>
      <c r="B49" s="72" t="s">
        <v>546</v>
      </c>
      <c r="C49" s="26" t="s">
        <v>547</v>
      </c>
      <c r="D49" s="67"/>
      <c r="E49" s="82">
        <v>8</v>
      </c>
      <c r="F49" s="82">
        <v>17</v>
      </c>
      <c r="G49" s="81"/>
      <c r="H49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E030-4E48-411D-826E-0BD3BBCAD76D}">
  <sheetPr filterMode="1"/>
  <dimension ref="A1:AG157"/>
  <sheetViews>
    <sheetView zoomScale="90" zoomScaleNormal="90"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S172" sqref="S172"/>
    </sheetView>
  </sheetViews>
  <sheetFormatPr defaultColWidth="9" defaultRowHeight="20.100000000000001" customHeight="1"/>
  <cols>
    <col min="1" max="1" width="6.5703125" style="87" customWidth="1"/>
    <col min="2" max="2" width="9" style="87"/>
    <col min="3" max="3" width="24.140625" style="87" customWidth="1"/>
    <col min="4" max="4" width="19" style="87" customWidth="1"/>
    <col min="5" max="5" width="12.5703125" style="97" customWidth="1"/>
    <col min="6" max="6" width="11.85546875" style="99" customWidth="1"/>
    <col min="7" max="11" width="10.7109375" style="99" customWidth="1"/>
    <col min="12" max="12" width="11.140625" style="99" customWidth="1"/>
    <col min="13" max="14" width="10.7109375" style="99" customWidth="1"/>
    <col min="15" max="15" width="11" style="99" customWidth="1"/>
    <col min="16" max="16" width="9.7109375" style="99" customWidth="1"/>
    <col min="17" max="17" width="11.28515625" style="99" customWidth="1"/>
    <col min="18" max="19" width="9.7109375" style="99" customWidth="1"/>
    <col min="20" max="20" width="11.42578125" style="99" customWidth="1"/>
    <col min="21" max="28" width="9.7109375" style="99" customWidth="1"/>
    <col min="29" max="29" width="11.140625" style="99" customWidth="1"/>
    <col min="30" max="32" width="9.28515625" style="87" customWidth="1"/>
    <col min="33" max="16384" width="9" style="87"/>
  </cols>
  <sheetData>
    <row r="1" spans="1:33" ht="20.100000000000001" customHeight="1">
      <c r="E1" s="95"/>
    </row>
    <row r="2" spans="1:33" ht="19.5" customHeight="1">
      <c r="E2" s="98"/>
      <c r="F2" s="246" t="s">
        <v>499</v>
      </c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7"/>
      <c r="Y2" s="234"/>
      <c r="Z2" s="234"/>
      <c r="AA2" s="234"/>
      <c r="AB2" s="234"/>
      <c r="AC2" s="163"/>
      <c r="AD2" s="248" t="s">
        <v>500</v>
      </c>
      <c r="AE2" s="249"/>
      <c r="AF2" s="249"/>
      <c r="AG2" s="249"/>
    </row>
    <row r="3" spans="1:33" s="154" customFormat="1" ht="51" hidden="1" customHeight="1">
      <c r="A3" s="157" t="s">
        <v>1</v>
      </c>
      <c r="B3" s="157" t="s">
        <v>2</v>
      </c>
      <c r="C3" s="157" t="s">
        <v>3</v>
      </c>
      <c r="D3" s="157" t="s">
        <v>4</v>
      </c>
      <c r="E3" s="168"/>
      <c r="F3" s="166" t="s">
        <v>362</v>
      </c>
      <c r="G3" s="160" t="s">
        <v>363</v>
      </c>
      <c r="H3" s="160" t="s">
        <v>504</v>
      </c>
      <c r="I3" s="160" t="s">
        <v>505</v>
      </c>
      <c r="J3" s="160" t="s">
        <v>506</v>
      </c>
      <c r="K3" s="160" t="s">
        <v>507</v>
      </c>
      <c r="L3" s="232" t="s">
        <v>545</v>
      </c>
      <c r="M3" s="160" t="s">
        <v>300</v>
      </c>
      <c r="N3" s="160" t="s">
        <v>555</v>
      </c>
      <c r="O3" s="232" t="s">
        <v>548</v>
      </c>
      <c r="P3" s="160" t="s">
        <v>365</v>
      </c>
      <c r="Q3" s="160" t="s">
        <v>366</v>
      </c>
      <c r="R3" s="160" t="s">
        <v>367</v>
      </c>
      <c r="S3" s="160" t="s">
        <v>368</v>
      </c>
      <c r="T3" s="160" t="s">
        <v>301</v>
      </c>
      <c r="U3" s="160" t="s">
        <v>369</v>
      </c>
      <c r="V3" s="160" t="s">
        <v>370</v>
      </c>
      <c r="W3" s="160" t="s">
        <v>371</v>
      </c>
      <c r="X3" s="235" t="s">
        <v>372</v>
      </c>
      <c r="Y3" s="235" t="s">
        <v>566</v>
      </c>
      <c r="Z3" s="235" t="s">
        <v>563</v>
      </c>
      <c r="AA3" s="235" t="s">
        <v>564</v>
      </c>
      <c r="AB3" s="235" t="s">
        <v>565</v>
      </c>
      <c r="AC3" s="238" t="s">
        <v>298</v>
      </c>
      <c r="AD3" s="161" t="s">
        <v>502</v>
      </c>
      <c r="AE3" s="158" t="s">
        <v>503</v>
      </c>
      <c r="AF3" s="159" t="s">
        <v>501</v>
      </c>
      <c r="AG3" s="158" t="s">
        <v>292</v>
      </c>
    </row>
    <row r="4" spans="1:33" ht="20.100000000000001" hidden="1" customHeight="1">
      <c r="A4" s="72">
        <v>1</v>
      </c>
      <c r="B4" s="72">
        <v>210993</v>
      </c>
      <c r="C4" s="72" t="s">
        <v>19</v>
      </c>
      <c r="D4" s="72" t="s">
        <v>20</v>
      </c>
      <c r="E4" s="169" t="s">
        <v>21</v>
      </c>
      <c r="F4" s="167">
        <v>12000</v>
      </c>
      <c r="G4" s="100"/>
      <c r="H4" s="100">
        <f>ROUND($F4/30/8*1,2)</f>
        <v>50</v>
      </c>
      <c r="I4" s="100">
        <f>ROUND($F4/30/8*1.5,2)</f>
        <v>75</v>
      </c>
      <c r="J4" s="100">
        <f>ROUND($F4/30/8*2,2)</f>
        <v>100</v>
      </c>
      <c r="K4" s="100">
        <f>ROUND($F4/30/8*3,2)</f>
        <v>150</v>
      </c>
      <c r="L4" s="100">
        <v>1000</v>
      </c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236"/>
      <c r="Y4" s="236"/>
      <c r="Z4" s="236"/>
      <c r="AA4" s="236"/>
      <c r="AB4" s="236"/>
      <c r="AC4" s="164" t="s">
        <v>553</v>
      </c>
      <c r="AD4" s="162">
        <v>0</v>
      </c>
      <c r="AE4" s="72"/>
      <c r="AF4" s="72">
        <v>0</v>
      </c>
      <c r="AG4" s="72"/>
    </row>
    <row r="5" spans="1:33" ht="20.100000000000001" hidden="1" customHeight="1">
      <c r="A5" s="72">
        <v>2</v>
      </c>
      <c r="B5" s="72">
        <v>120189</v>
      </c>
      <c r="C5" s="72" t="s">
        <v>26</v>
      </c>
      <c r="D5" s="72" t="s">
        <v>27</v>
      </c>
      <c r="E5" s="169" t="s">
        <v>21</v>
      </c>
      <c r="F5" s="167">
        <v>12000</v>
      </c>
      <c r="G5" s="100"/>
      <c r="H5" s="100">
        <f t="shared" ref="H5:H59" si="0">ROUND($F5/30/8*1,2)</f>
        <v>50</v>
      </c>
      <c r="I5" s="100">
        <f t="shared" ref="I5:I59" si="1">ROUND($F5/30/8*1.5,2)</f>
        <v>75</v>
      </c>
      <c r="J5" s="100">
        <f t="shared" ref="J5:J59" si="2">ROUND($F5/30/8*2,2)</f>
        <v>100</v>
      </c>
      <c r="K5" s="100">
        <f t="shared" ref="K5:K59" si="3">ROUND($F5/30/8*3,2)</f>
        <v>150</v>
      </c>
      <c r="L5" s="100">
        <v>1000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236"/>
      <c r="Y5" s="236"/>
      <c r="Z5" s="236"/>
      <c r="AA5" s="236"/>
      <c r="AB5" s="236"/>
      <c r="AC5" s="164" t="s">
        <v>553</v>
      </c>
      <c r="AD5" s="162">
        <f>ROUND(F5*0.05,0)</f>
        <v>600</v>
      </c>
      <c r="AE5" s="72"/>
      <c r="AF5" s="72">
        <f>ROUND(F5*0.0025,0)</f>
        <v>30</v>
      </c>
      <c r="AG5" s="72"/>
    </row>
    <row r="6" spans="1:33" ht="20.100000000000001" hidden="1" customHeight="1">
      <c r="A6" s="72">
        <v>3</v>
      </c>
      <c r="B6" s="72">
        <v>120260</v>
      </c>
      <c r="C6" s="72" t="s">
        <v>33</v>
      </c>
      <c r="D6" s="72" t="s">
        <v>27</v>
      </c>
      <c r="E6" s="169" t="s">
        <v>21</v>
      </c>
      <c r="F6" s="167">
        <v>12000</v>
      </c>
      <c r="G6" s="100"/>
      <c r="H6" s="100">
        <f t="shared" si="0"/>
        <v>50</v>
      </c>
      <c r="I6" s="100">
        <f t="shared" si="1"/>
        <v>75</v>
      </c>
      <c r="J6" s="100">
        <f t="shared" si="2"/>
        <v>100</v>
      </c>
      <c r="K6" s="100">
        <f t="shared" si="3"/>
        <v>150</v>
      </c>
      <c r="L6" s="100">
        <v>1000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236"/>
      <c r="Y6" s="236"/>
      <c r="Z6" s="236"/>
      <c r="AA6" s="236"/>
      <c r="AB6" s="236"/>
      <c r="AC6" s="164" t="s">
        <v>553</v>
      </c>
      <c r="AD6" s="162">
        <f>ROUND(F6*0.05,0)</f>
        <v>600</v>
      </c>
      <c r="AE6" s="72"/>
      <c r="AF6" s="72">
        <f>ROUND(F6*0.0025,0)</f>
        <v>30</v>
      </c>
      <c r="AG6" s="72"/>
    </row>
    <row r="7" spans="1:33" ht="20.100000000000001" hidden="1" customHeight="1">
      <c r="A7" s="72">
        <v>4</v>
      </c>
      <c r="B7" s="72">
        <v>121014</v>
      </c>
      <c r="C7" s="72" t="s">
        <v>36</v>
      </c>
      <c r="D7" s="72" t="s">
        <v>27</v>
      </c>
      <c r="E7" s="169" t="s">
        <v>21</v>
      </c>
      <c r="F7" s="167">
        <v>12000</v>
      </c>
      <c r="G7" s="100"/>
      <c r="H7" s="100">
        <f t="shared" si="0"/>
        <v>50</v>
      </c>
      <c r="I7" s="100">
        <f t="shared" si="1"/>
        <v>75</v>
      </c>
      <c r="J7" s="100">
        <f t="shared" si="2"/>
        <v>100</v>
      </c>
      <c r="K7" s="100">
        <f t="shared" si="3"/>
        <v>150</v>
      </c>
      <c r="L7" s="100">
        <v>1000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236"/>
      <c r="Y7" s="236"/>
      <c r="Z7" s="236"/>
      <c r="AA7" s="236"/>
      <c r="AB7" s="236"/>
      <c r="AC7" s="164" t="s">
        <v>553</v>
      </c>
      <c r="AD7" s="162">
        <f>ROUND(F7*0.05,0)</f>
        <v>600</v>
      </c>
      <c r="AE7" s="72"/>
      <c r="AF7" s="72">
        <f>ROUND(F7*0.0025,0)</f>
        <v>30</v>
      </c>
      <c r="AG7" s="72"/>
    </row>
    <row r="8" spans="1:33" ht="20.100000000000001" hidden="1" customHeight="1">
      <c r="A8" s="72">
        <v>5</v>
      </c>
      <c r="B8" s="72">
        <v>120697</v>
      </c>
      <c r="C8" s="72" t="s">
        <v>39</v>
      </c>
      <c r="D8" s="72" t="s">
        <v>27</v>
      </c>
      <c r="E8" s="169" t="s">
        <v>21</v>
      </c>
      <c r="F8" s="167">
        <v>12000</v>
      </c>
      <c r="G8" s="100"/>
      <c r="H8" s="100">
        <f t="shared" si="0"/>
        <v>50</v>
      </c>
      <c r="I8" s="100">
        <f t="shared" si="1"/>
        <v>75</v>
      </c>
      <c r="J8" s="100">
        <f t="shared" si="2"/>
        <v>100</v>
      </c>
      <c r="K8" s="100">
        <f t="shared" si="3"/>
        <v>150</v>
      </c>
      <c r="L8" s="100">
        <v>1000</v>
      </c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236"/>
      <c r="Y8" s="236"/>
      <c r="Z8" s="236"/>
      <c r="AA8" s="236"/>
      <c r="AB8" s="236"/>
      <c r="AC8" s="164" t="s">
        <v>553</v>
      </c>
      <c r="AD8" s="162">
        <f>ROUND(F8*0.05,0)</f>
        <v>600</v>
      </c>
      <c r="AE8" s="72"/>
      <c r="AF8" s="72">
        <f>ROUND(F8*0.0025,0)</f>
        <v>30</v>
      </c>
      <c r="AG8" s="72"/>
    </row>
    <row r="9" spans="1:33" ht="20.100000000000001" hidden="1" customHeight="1">
      <c r="A9" s="72">
        <v>6</v>
      </c>
      <c r="B9" s="72">
        <v>121068</v>
      </c>
      <c r="C9" s="72" t="s">
        <v>40</v>
      </c>
      <c r="D9" s="72" t="s">
        <v>27</v>
      </c>
      <c r="E9" s="169" t="s">
        <v>21</v>
      </c>
      <c r="F9" s="167">
        <v>12000</v>
      </c>
      <c r="G9" s="100"/>
      <c r="H9" s="100">
        <f t="shared" si="0"/>
        <v>50</v>
      </c>
      <c r="I9" s="100">
        <f t="shared" si="1"/>
        <v>75</v>
      </c>
      <c r="J9" s="100">
        <f t="shared" si="2"/>
        <v>100</v>
      </c>
      <c r="K9" s="100">
        <f t="shared" si="3"/>
        <v>150</v>
      </c>
      <c r="L9" s="100">
        <v>1000</v>
      </c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236"/>
      <c r="Y9" s="236"/>
      <c r="Z9" s="236"/>
      <c r="AA9" s="236"/>
      <c r="AB9" s="236"/>
      <c r="AC9" s="164" t="s">
        <v>553</v>
      </c>
      <c r="AD9" s="162">
        <v>0</v>
      </c>
      <c r="AE9" s="72"/>
      <c r="AF9" s="72">
        <v>0</v>
      </c>
      <c r="AG9" s="72"/>
    </row>
    <row r="10" spans="1:33" ht="20.100000000000001" customHeight="1">
      <c r="A10" s="72">
        <v>7</v>
      </c>
      <c r="B10" s="72">
        <v>120150</v>
      </c>
      <c r="C10" s="72" t="s">
        <v>42</v>
      </c>
      <c r="D10" s="72" t="s">
        <v>43</v>
      </c>
      <c r="E10" s="169" t="s">
        <v>21</v>
      </c>
      <c r="F10" s="167">
        <v>12000</v>
      </c>
      <c r="G10" s="100"/>
      <c r="H10" s="100">
        <f t="shared" si="0"/>
        <v>50</v>
      </c>
      <c r="I10" s="100">
        <f t="shared" si="1"/>
        <v>75</v>
      </c>
      <c r="J10" s="100">
        <f t="shared" si="2"/>
        <v>100</v>
      </c>
      <c r="K10" s="100">
        <f t="shared" si="3"/>
        <v>150</v>
      </c>
      <c r="L10" s="100">
        <v>1000</v>
      </c>
      <c r="M10" s="100"/>
      <c r="N10" s="100"/>
      <c r="O10" s="100"/>
      <c r="P10" s="100"/>
      <c r="Q10" s="100"/>
      <c r="R10" s="100"/>
      <c r="S10" s="100"/>
      <c r="T10" s="100"/>
      <c r="U10" s="100">
        <v>500</v>
      </c>
      <c r="V10" s="100">
        <v>1000</v>
      </c>
      <c r="W10" s="100"/>
      <c r="X10" s="236"/>
      <c r="Y10" s="236"/>
      <c r="Z10" s="236"/>
      <c r="AA10" s="236"/>
      <c r="AB10" s="236"/>
      <c r="AC10" s="164" t="s">
        <v>553</v>
      </c>
      <c r="AD10" s="162">
        <f t="shared" ref="AD10:AD19" si="4">ROUND(F10*0.05,0)</f>
        <v>600</v>
      </c>
      <c r="AE10" s="72"/>
      <c r="AF10" s="72">
        <f t="shared" ref="AF10:AF19" si="5">ROUND(F10*0.0025,0)</f>
        <v>30</v>
      </c>
      <c r="AG10" s="72"/>
    </row>
    <row r="11" spans="1:33" ht="20.100000000000001" hidden="1" customHeight="1">
      <c r="A11" s="72">
        <v>8</v>
      </c>
      <c r="B11" s="72">
        <v>120748</v>
      </c>
      <c r="C11" s="72" t="s">
        <v>45</v>
      </c>
      <c r="D11" s="72" t="s">
        <v>27</v>
      </c>
      <c r="E11" s="169" t="s">
        <v>46</v>
      </c>
      <c r="F11" s="167">
        <v>12000</v>
      </c>
      <c r="G11" s="100"/>
      <c r="H11" s="100">
        <f t="shared" si="0"/>
        <v>50</v>
      </c>
      <c r="I11" s="100">
        <f t="shared" si="1"/>
        <v>75</v>
      </c>
      <c r="J11" s="100">
        <f t="shared" si="2"/>
        <v>100</v>
      </c>
      <c r="K11" s="100">
        <f t="shared" si="3"/>
        <v>150</v>
      </c>
      <c r="L11" s="100">
        <v>1000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236"/>
      <c r="Y11" s="236"/>
      <c r="Z11" s="236"/>
      <c r="AA11" s="236"/>
      <c r="AB11" s="236"/>
      <c r="AC11" s="164">
        <v>1200</v>
      </c>
      <c r="AD11" s="162">
        <f t="shared" si="4"/>
        <v>600</v>
      </c>
      <c r="AE11" s="72"/>
      <c r="AF11" s="72">
        <f t="shared" si="5"/>
        <v>30</v>
      </c>
      <c r="AG11" s="72"/>
    </row>
    <row r="12" spans="1:33" ht="20.100000000000001" hidden="1" customHeight="1">
      <c r="A12" s="72">
        <v>9</v>
      </c>
      <c r="B12" s="72">
        <v>120901</v>
      </c>
      <c r="C12" s="72" t="s">
        <v>47</v>
      </c>
      <c r="D12" s="72" t="s">
        <v>27</v>
      </c>
      <c r="E12" s="169" t="s">
        <v>46</v>
      </c>
      <c r="F12" s="167">
        <v>12000</v>
      </c>
      <c r="G12" s="100"/>
      <c r="H12" s="100">
        <f t="shared" si="0"/>
        <v>50</v>
      </c>
      <c r="I12" s="100">
        <f t="shared" si="1"/>
        <v>75</v>
      </c>
      <c r="J12" s="100">
        <f t="shared" si="2"/>
        <v>100</v>
      </c>
      <c r="K12" s="100">
        <f t="shared" si="3"/>
        <v>150</v>
      </c>
      <c r="L12" s="100">
        <v>1000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236"/>
      <c r="Y12" s="236"/>
      <c r="Z12" s="236"/>
      <c r="AA12" s="236"/>
      <c r="AB12" s="236"/>
      <c r="AC12" s="164" t="s">
        <v>554</v>
      </c>
      <c r="AD12" s="162">
        <f t="shared" si="4"/>
        <v>600</v>
      </c>
      <c r="AE12" s="72"/>
      <c r="AF12" s="72">
        <f t="shared" si="5"/>
        <v>30</v>
      </c>
      <c r="AG12" s="72"/>
    </row>
    <row r="13" spans="1:33" ht="20.100000000000001" hidden="1" customHeight="1">
      <c r="A13" s="72">
        <v>10</v>
      </c>
      <c r="B13" s="72">
        <v>110749</v>
      </c>
      <c r="C13" s="72" t="s">
        <v>50</v>
      </c>
      <c r="D13" s="72" t="s">
        <v>51</v>
      </c>
      <c r="E13" s="169" t="s">
        <v>46</v>
      </c>
      <c r="F13" s="167">
        <v>12000</v>
      </c>
      <c r="G13" s="100"/>
      <c r="H13" s="100">
        <f t="shared" si="0"/>
        <v>50</v>
      </c>
      <c r="I13" s="100">
        <f t="shared" si="1"/>
        <v>75</v>
      </c>
      <c r="J13" s="100">
        <f t="shared" si="2"/>
        <v>100</v>
      </c>
      <c r="K13" s="100">
        <f t="shared" si="3"/>
        <v>150</v>
      </c>
      <c r="L13" s="100">
        <v>1000</v>
      </c>
      <c r="M13" s="100"/>
      <c r="N13" s="100"/>
      <c r="O13" s="231" t="s">
        <v>544</v>
      </c>
      <c r="P13" s="100"/>
      <c r="Q13" s="100"/>
      <c r="R13" s="100"/>
      <c r="S13" s="100"/>
      <c r="T13" s="100"/>
      <c r="U13" s="100"/>
      <c r="V13" s="100"/>
      <c r="W13" s="100"/>
      <c r="X13" s="236"/>
      <c r="Y13" s="236"/>
      <c r="Z13" s="236"/>
      <c r="AA13" s="236"/>
      <c r="AB13" s="236"/>
      <c r="AC13" s="164" t="s">
        <v>554</v>
      </c>
      <c r="AD13" s="162">
        <f t="shared" si="4"/>
        <v>600</v>
      </c>
      <c r="AE13" s="72"/>
      <c r="AF13" s="72">
        <f t="shared" si="5"/>
        <v>30</v>
      </c>
      <c r="AG13" s="72"/>
    </row>
    <row r="14" spans="1:33" ht="20.100000000000001" hidden="1" customHeight="1">
      <c r="A14" s="72">
        <v>11</v>
      </c>
      <c r="B14" s="72">
        <v>110709</v>
      </c>
      <c r="C14" s="72" t="s">
        <v>52</v>
      </c>
      <c r="D14" s="72" t="s">
        <v>51</v>
      </c>
      <c r="E14" s="169" t="s">
        <v>46</v>
      </c>
      <c r="F14" s="167">
        <v>12000</v>
      </c>
      <c r="G14" s="100"/>
      <c r="H14" s="100">
        <f t="shared" si="0"/>
        <v>50</v>
      </c>
      <c r="I14" s="100">
        <f t="shared" si="1"/>
        <v>75</v>
      </c>
      <c r="J14" s="100">
        <f t="shared" si="2"/>
        <v>100</v>
      </c>
      <c r="K14" s="100">
        <f t="shared" si="3"/>
        <v>150</v>
      </c>
      <c r="L14" s="100">
        <v>1000</v>
      </c>
      <c r="M14" s="100"/>
      <c r="N14" s="100"/>
      <c r="O14" s="231" t="s">
        <v>544</v>
      </c>
      <c r="P14" s="100"/>
      <c r="Q14" s="100"/>
      <c r="R14" s="100"/>
      <c r="S14" s="100"/>
      <c r="T14" s="100"/>
      <c r="U14" s="100"/>
      <c r="V14" s="100"/>
      <c r="W14" s="100"/>
      <c r="X14" s="236"/>
      <c r="Y14" s="236"/>
      <c r="Z14" s="236"/>
      <c r="AA14" s="236"/>
      <c r="AB14" s="236"/>
      <c r="AC14" s="164" t="s">
        <v>554</v>
      </c>
      <c r="AD14" s="162">
        <f t="shared" si="4"/>
        <v>600</v>
      </c>
      <c r="AE14" s="72"/>
      <c r="AF14" s="72">
        <f t="shared" si="5"/>
        <v>30</v>
      </c>
      <c r="AG14" s="72"/>
    </row>
    <row r="15" spans="1:33" ht="20.100000000000001" hidden="1" customHeight="1">
      <c r="A15" s="72">
        <v>12</v>
      </c>
      <c r="B15" s="72">
        <v>111019</v>
      </c>
      <c r="C15" s="72" t="s">
        <v>53</v>
      </c>
      <c r="D15" s="72" t="s">
        <v>51</v>
      </c>
      <c r="E15" s="169" t="s">
        <v>46</v>
      </c>
      <c r="F15" s="167">
        <v>12000</v>
      </c>
      <c r="G15" s="100"/>
      <c r="H15" s="100">
        <f t="shared" si="0"/>
        <v>50</v>
      </c>
      <c r="I15" s="100">
        <f t="shared" si="1"/>
        <v>75</v>
      </c>
      <c r="J15" s="100">
        <f t="shared" si="2"/>
        <v>100</v>
      </c>
      <c r="K15" s="100">
        <f t="shared" si="3"/>
        <v>150</v>
      </c>
      <c r="L15" s="100">
        <v>1000</v>
      </c>
      <c r="M15" s="100"/>
      <c r="N15" s="100"/>
      <c r="O15" s="231" t="s">
        <v>544</v>
      </c>
      <c r="P15" s="100"/>
      <c r="Q15" s="100"/>
      <c r="R15" s="100"/>
      <c r="S15" s="100"/>
      <c r="T15" s="100"/>
      <c r="U15" s="100"/>
      <c r="V15" s="100"/>
      <c r="W15" s="100"/>
      <c r="X15" s="236"/>
      <c r="Y15" s="236"/>
      <c r="Z15" s="236"/>
      <c r="AA15" s="236"/>
      <c r="AB15" s="236"/>
      <c r="AC15" s="164" t="s">
        <v>554</v>
      </c>
      <c r="AD15" s="162">
        <f t="shared" si="4"/>
        <v>600</v>
      </c>
      <c r="AE15" s="72"/>
      <c r="AF15" s="72">
        <f t="shared" si="5"/>
        <v>30</v>
      </c>
      <c r="AG15" s="72"/>
    </row>
    <row r="16" spans="1:33" ht="20.100000000000001" customHeight="1">
      <c r="A16" s="72">
        <v>13</v>
      </c>
      <c r="B16" s="72">
        <v>120362</v>
      </c>
      <c r="C16" s="72" t="s">
        <v>55</v>
      </c>
      <c r="D16" s="72" t="s">
        <v>43</v>
      </c>
      <c r="E16" s="169" t="s">
        <v>46</v>
      </c>
      <c r="F16" s="167">
        <v>12570</v>
      </c>
      <c r="G16" s="100"/>
      <c r="H16" s="100">
        <f t="shared" si="0"/>
        <v>52.38</v>
      </c>
      <c r="I16" s="100">
        <f t="shared" si="1"/>
        <v>78.56</v>
      </c>
      <c r="J16" s="100">
        <f>ROUND($F16/30/8*2,2)</f>
        <v>104.75</v>
      </c>
      <c r="K16" s="100">
        <f t="shared" si="3"/>
        <v>157.13</v>
      </c>
      <c r="L16" s="100">
        <v>1000</v>
      </c>
      <c r="M16" s="100"/>
      <c r="N16" s="100"/>
      <c r="O16" s="100"/>
      <c r="P16" s="100"/>
      <c r="Q16" s="100"/>
      <c r="R16" s="100"/>
      <c r="S16" s="100"/>
      <c r="T16" s="100"/>
      <c r="U16" s="100">
        <v>500</v>
      </c>
      <c r="V16" s="100"/>
      <c r="W16" s="100"/>
      <c r="X16" s="236"/>
      <c r="Y16" s="236"/>
      <c r="Z16" s="236"/>
      <c r="AA16" s="236"/>
      <c r="AB16" s="236"/>
      <c r="AC16" s="164" t="s">
        <v>554</v>
      </c>
      <c r="AD16" s="162">
        <f t="shared" si="4"/>
        <v>629</v>
      </c>
      <c r="AE16" s="72"/>
      <c r="AF16" s="72">
        <f t="shared" si="5"/>
        <v>31</v>
      </c>
      <c r="AG16" s="72"/>
    </row>
    <row r="17" spans="1:33" ht="20.100000000000001" hidden="1" customHeight="1">
      <c r="A17" s="72">
        <v>14</v>
      </c>
      <c r="B17" s="72">
        <v>121300</v>
      </c>
      <c r="C17" s="72" t="s">
        <v>56</v>
      </c>
      <c r="D17" s="72" t="s">
        <v>27</v>
      </c>
      <c r="E17" s="169" t="s">
        <v>57</v>
      </c>
      <c r="F17" s="167">
        <v>12000</v>
      </c>
      <c r="G17" s="100"/>
      <c r="H17" s="100">
        <f t="shared" si="0"/>
        <v>50</v>
      </c>
      <c r="I17" s="100">
        <f t="shared" si="1"/>
        <v>75</v>
      </c>
      <c r="J17" s="100">
        <f t="shared" si="2"/>
        <v>100</v>
      </c>
      <c r="K17" s="100">
        <f t="shared" si="3"/>
        <v>150</v>
      </c>
      <c r="L17" s="100">
        <v>1000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236"/>
      <c r="Y17" s="236"/>
      <c r="Z17" s="236"/>
      <c r="AA17" s="236"/>
      <c r="AB17" s="236"/>
      <c r="AC17" s="164" t="s">
        <v>554</v>
      </c>
      <c r="AD17" s="162">
        <f t="shared" si="4"/>
        <v>600</v>
      </c>
      <c r="AE17" s="72"/>
      <c r="AF17" s="72">
        <f t="shared" si="5"/>
        <v>30</v>
      </c>
      <c r="AG17" s="72"/>
    </row>
    <row r="18" spans="1:33" ht="20.100000000000001" hidden="1" customHeight="1">
      <c r="A18" s="72">
        <v>15</v>
      </c>
      <c r="B18" s="72">
        <v>121099</v>
      </c>
      <c r="C18" s="72" t="s">
        <v>58</v>
      </c>
      <c r="D18" s="72" t="s">
        <v>27</v>
      </c>
      <c r="E18" s="169" t="s">
        <v>57</v>
      </c>
      <c r="F18" s="167">
        <v>12000</v>
      </c>
      <c r="G18" s="100"/>
      <c r="H18" s="100">
        <f t="shared" si="0"/>
        <v>50</v>
      </c>
      <c r="I18" s="100">
        <f t="shared" si="1"/>
        <v>75</v>
      </c>
      <c r="J18" s="100">
        <f t="shared" si="2"/>
        <v>100</v>
      </c>
      <c r="K18" s="100">
        <f t="shared" si="3"/>
        <v>150</v>
      </c>
      <c r="L18" s="100">
        <v>1000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236"/>
      <c r="Y18" s="236"/>
      <c r="Z18" s="236"/>
      <c r="AA18" s="236"/>
      <c r="AB18" s="236"/>
      <c r="AC18" s="164" t="s">
        <v>554</v>
      </c>
      <c r="AD18" s="162">
        <f t="shared" si="4"/>
        <v>600</v>
      </c>
      <c r="AE18" s="72"/>
      <c r="AF18" s="72">
        <f t="shared" si="5"/>
        <v>30</v>
      </c>
      <c r="AG18" s="72"/>
    </row>
    <row r="19" spans="1:33" ht="20.100000000000001" hidden="1" customHeight="1">
      <c r="A19" s="72">
        <v>16</v>
      </c>
      <c r="B19" s="72">
        <v>121301</v>
      </c>
      <c r="C19" s="72" t="s">
        <v>60</v>
      </c>
      <c r="D19" s="72" t="s">
        <v>27</v>
      </c>
      <c r="E19" s="169" t="s">
        <v>57</v>
      </c>
      <c r="F19" s="167">
        <v>12000</v>
      </c>
      <c r="G19" s="100"/>
      <c r="H19" s="100">
        <f t="shared" si="0"/>
        <v>50</v>
      </c>
      <c r="I19" s="100">
        <f t="shared" si="1"/>
        <v>75</v>
      </c>
      <c r="J19" s="100">
        <f t="shared" si="2"/>
        <v>100</v>
      </c>
      <c r="K19" s="100">
        <f t="shared" si="3"/>
        <v>150</v>
      </c>
      <c r="L19" s="100">
        <v>1000</v>
      </c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236"/>
      <c r="Y19" s="236"/>
      <c r="Z19" s="236"/>
      <c r="AA19" s="236"/>
      <c r="AB19" s="236"/>
      <c r="AC19" s="164" t="s">
        <v>554</v>
      </c>
      <c r="AD19" s="162">
        <f t="shared" si="4"/>
        <v>600</v>
      </c>
      <c r="AE19" s="72"/>
      <c r="AF19" s="72">
        <f t="shared" si="5"/>
        <v>30</v>
      </c>
      <c r="AG19" s="72"/>
    </row>
    <row r="20" spans="1:33" ht="20.100000000000001" hidden="1" customHeight="1">
      <c r="A20" s="72">
        <v>17</v>
      </c>
      <c r="B20" s="72">
        <v>110360</v>
      </c>
      <c r="C20" s="72" t="s">
        <v>61</v>
      </c>
      <c r="D20" s="72" t="s">
        <v>51</v>
      </c>
      <c r="E20" s="169" t="s">
        <v>57</v>
      </c>
      <c r="F20" s="167">
        <v>12000</v>
      </c>
      <c r="G20" s="100"/>
      <c r="H20" s="100">
        <f t="shared" si="0"/>
        <v>50</v>
      </c>
      <c r="I20" s="100">
        <f t="shared" si="1"/>
        <v>75</v>
      </c>
      <c r="J20" s="100">
        <f t="shared" si="2"/>
        <v>100</v>
      </c>
      <c r="K20" s="100">
        <f t="shared" si="3"/>
        <v>150</v>
      </c>
      <c r="L20" s="100">
        <v>1000</v>
      </c>
      <c r="M20" s="100"/>
      <c r="N20" s="100"/>
      <c r="O20" s="231" t="s">
        <v>544</v>
      </c>
      <c r="P20" s="100"/>
      <c r="Q20" s="100"/>
      <c r="R20" s="100"/>
      <c r="S20" s="100"/>
      <c r="T20" s="100"/>
      <c r="U20" s="100"/>
      <c r="V20" s="100"/>
      <c r="W20" s="100"/>
      <c r="X20" s="236"/>
      <c r="Y20" s="236"/>
      <c r="Z20" s="236"/>
      <c r="AA20" s="236"/>
      <c r="AB20" s="236"/>
      <c r="AC20" s="164" t="s">
        <v>554</v>
      </c>
      <c r="AD20" s="162">
        <v>0</v>
      </c>
      <c r="AE20" s="72"/>
      <c r="AF20" s="72">
        <v>0</v>
      </c>
      <c r="AG20" s="72"/>
    </row>
    <row r="21" spans="1:33" ht="20.100000000000001" hidden="1" customHeight="1">
      <c r="A21" s="72">
        <v>18</v>
      </c>
      <c r="B21" s="72">
        <v>110738</v>
      </c>
      <c r="C21" s="72" t="s">
        <v>63</v>
      </c>
      <c r="D21" s="72" t="s">
        <v>51</v>
      </c>
      <c r="E21" s="169" t="s">
        <v>57</v>
      </c>
      <c r="F21" s="167">
        <v>12000</v>
      </c>
      <c r="G21" s="100"/>
      <c r="H21" s="100">
        <f t="shared" si="0"/>
        <v>50</v>
      </c>
      <c r="I21" s="100">
        <f t="shared" si="1"/>
        <v>75</v>
      </c>
      <c r="J21" s="100">
        <f t="shared" si="2"/>
        <v>100</v>
      </c>
      <c r="K21" s="100">
        <f t="shared" si="3"/>
        <v>150</v>
      </c>
      <c r="L21" s="100">
        <v>1000</v>
      </c>
      <c r="M21" s="100"/>
      <c r="N21" s="100"/>
      <c r="O21" s="231" t="s">
        <v>544</v>
      </c>
      <c r="P21" s="100"/>
      <c r="Q21" s="100"/>
      <c r="R21" s="100"/>
      <c r="S21" s="100"/>
      <c r="T21" s="100"/>
      <c r="U21" s="100"/>
      <c r="V21" s="100"/>
      <c r="W21" s="100"/>
      <c r="X21" s="236"/>
      <c r="Y21" s="236"/>
      <c r="Z21" s="236"/>
      <c r="AA21" s="236"/>
      <c r="AB21" s="236"/>
      <c r="AC21" s="164" t="s">
        <v>554</v>
      </c>
      <c r="AD21" s="162">
        <f>ROUND(F21*0.05,0)</f>
        <v>600</v>
      </c>
      <c r="AE21" s="72"/>
      <c r="AF21" s="72">
        <f>ROUND(F21*0.0025,0)</f>
        <v>30</v>
      </c>
      <c r="AG21" s="72"/>
    </row>
    <row r="22" spans="1:33" ht="20.100000000000001" hidden="1" customHeight="1">
      <c r="A22" s="72">
        <v>19</v>
      </c>
      <c r="B22" s="72">
        <v>110932</v>
      </c>
      <c r="C22" s="72" t="s">
        <v>64</v>
      </c>
      <c r="D22" s="72" t="s">
        <v>51</v>
      </c>
      <c r="E22" s="169" t="s">
        <v>57</v>
      </c>
      <c r="F22" s="167">
        <v>12000</v>
      </c>
      <c r="G22" s="100"/>
      <c r="H22" s="100">
        <f t="shared" si="0"/>
        <v>50</v>
      </c>
      <c r="I22" s="100">
        <f t="shared" si="1"/>
        <v>75</v>
      </c>
      <c r="J22" s="100">
        <f t="shared" si="2"/>
        <v>100</v>
      </c>
      <c r="K22" s="100">
        <f t="shared" si="3"/>
        <v>150</v>
      </c>
      <c r="L22" s="100">
        <v>1000</v>
      </c>
      <c r="M22" s="100"/>
      <c r="N22" s="100"/>
      <c r="O22" s="231" t="s">
        <v>544</v>
      </c>
      <c r="P22" s="100"/>
      <c r="Q22" s="100"/>
      <c r="R22" s="100"/>
      <c r="S22" s="100"/>
      <c r="T22" s="100"/>
      <c r="U22" s="100"/>
      <c r="V22" s="100"/>
      <c r="W22" s="100"/>
      <c r="X22" s="236"/>
      <c r="Y22" s="236"/>
      <c r="Z22" s="236"/>
      <c r="AA22" s="236"/>
      <c r="AB22" s="236"/>
      <c r="AC22" s="164" t="s">
        <v>554</v>
      </c>
      <c r="AD22" s="162">
        <v>0</v>
      </c>
      <c r="AE22" s="72"/>
      <c r="AF22" s="72">
        <v>0</v>
      </c>
      <c r="AG22" s="72"/>
    </row>
    <row r="23" spans="1:33" ht="20.100000000000001" customHeight="1">
      <c r="A23" s="72">
        <v>20</v>
      </c>
      <c r="B23" s="72">
        <v>120977</v>
      </c>
      <c r="C23" s="72" t="s">
        <v>401</v>
      </c>
      <c r="D23" s="72" t="s">
        <v>43</v>
      </c>
      <c r="E23" s="169" t="s">
        <v>57</v>
      </c>
      <c r="F23" s="167">
        <v>12570</v>
      </c>
      <c r="G23" s="100"/>
      <c r="H23" s="100">
        <f t="shared" si="0"/>
        <v>52.38</v>
      </c>
      <c r="I23" s="100">
        <f t="shared" si="1"/>
        <v>78.56</v>
      </c>
      <c r="J23" s="100">
        <f t="shared" si="2"/>
        <v>104.75</v>
      </c>
      <c r="K23" s="100">
        <f t="shared" si="3"/>
        <v>157.13</v>
      </c>
      <c r="L23" s="100">
        <v>1000</v>
      </c>
      <c r="M23" s="100"/>
      <c r="N23" s="100"/>
      <c r="O23" s="100"/>
      <c r="P23" s="100"/>
      <c r="Q23" s="100"/>
      <c r="R23" s="100"/>
      <c r="S23" s="100"/>
      <c r="T23" s="100"/>
      <c r="U23" s="100">
        <v>500</v>
      </c>
      <c r="V23" s="100"/>
      <c r="W23" s="100"/>
      <c r="X23" s="236"/>
      <c r="Y23" s="236"/>
      <c r="Z23" s="236"/>
      <c r="AA23" s="236"/>
      <c r="AB23" s="236"/>
      <c r="AC23" s="164" t="s">
        <v>554</v>
      </c>
      <c r="AD23" s="162">
        <f>ROUND(F23*0.05,0)</f>
        <v>629</v>
      </c>
      <c r="AE23" s="72"/>
      <c r="AF23" s="72">
        <f>ROUND(F23*0.0025,0)</f>
        <v>31</v>
      </c>
      <c r="AG23" s="72"/>
    </row>
    <row r="24" spans="1:33" ht="20.100000000000001" hidden="1" customHeight="1">
      <c r="A24" s="72">
        <v>21</v>
      </c>
      <c r="B24" s="72">
        <v>110669</v>
      </c>
      <c r="C24" s="72" t="s">
        <v>400</v>
      </c>
      <c r="D24" s="72" t="s">
        <v>65</v>
      </c>
      <c r="E24" s="169" t="s">
        <v>66</v>
      </c>
      <c r="F24" s="167">
        <v>12000</v>
      </c>
      <c r="G24" s="100"/>
      <c r="H24" s="100">
        <f t="shared" si="0"/>
        <v>50</v>
      </c>
      <c r="I24" s="100">
        <f t="shared" si="1"/>
        <v>75</v>
      </c>
      <c r="J24" s="100">
        <f t="shared" si="2"/>
        <v>100</v>
      </c>
      <c r="K24" s="100">
        <f t="shared" si="3"/>
        <v>150</v>
      </c>
      <c r="L24" s="100">
        <v>1000</v>
      </c>
      <c r="M24" s="100"/>
      <c r="N24" s="100"/>
      <c r="O24" s="231" t="s">
        <v>544</v>
      </c>
      <c r="P24" s="100"/>
      <c r="Q24" s="100"/>
      <c r="R24" s="100"/>
      <c r="S24" s="100"/>
      <c r="T24" s="100"/>
      <c r="U24" s="100"/>
      <c r="V24" s="100"/>
      <c r="W24" s="100"/>
      <c r="X24" s="236"/>
      <c r="Y24" s="236"/>
      <c r="Z24" s="236"/>
      <c r="AA24" s="236"/>
      <c r="AB24" s="236"/>
      <c r="AC24" s="164" t="s">
        <v>554</v>
      </c>
      <c r="AD24" s="162">
        <f>ROUND(F24*0.05,0)</f>
        <v>600</v>
      </c>
      <c r="AE24" s="72"/>
      <c r="AF24" s="72">
        <f>ROUND(F24*0.0025,0)</f>
        <v>30</v>
      </c>
      <c r="AG24" s="72"/>
    </row>
    <row r="25" spans="1:33" ht="20.100000000000001" hidden="1" customHeight="1">
      <c r="A25" s="72">
        <v>22</v>
      </c>
      <c r="B25" s="72">
        <v>120603</v>
      </c>
      <c r="C25" s="72" t="s">
        <v>67</v>
      </c>
      <c r="D25" s="72" t="s">
        <v>27</v>
      </c>
      <c r="E25" s="169" t="s">
        <v>66</v>
      </c>
      <c r="F25" s="167">
        <v>12000</v>
      </c>
      <c r="G25" s="100"/>
      <c r="H25" s="100">
        <f t="shared" si="0"/>
        <v>50</v>
      </c>
      <c r="I25" s="100">
        <f t="shared" si="1"/>
        <v>75</v>
      </c>
      <c r="J25" s="100">
        <f t="shared" si="2"/>
        <v>100</v>
      </c>
      <c r="K25" s="100">
        <f t="shared" si="3"/>
        <v>150</v>
      </c>
      <c r="L25" s="100">
        <v>1000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236"/>
      <c r="Y25" s="236"/>
      <c r="Z25" s="236"/>
      <c r="AA25" s="236"/>
      <c r="AB25" s="236"/>
      <c r="AC25" s="164" t="s">
        <v>554</v>
      </c>
      <c r="AD25" s="162">
        <v>0</v>
      </c>
      <c r="AE25" s="72"/>
      <c r="AF25" s="72">
        <v>0</v>
      </c>
      <c r="AG25" s="72"/>
    </row>
    <row r="26" spans="1:33" ht="20.100000000000001" hidden="1" customHeight="1">
      <c r="A26" s="72">
        <v>23</v>
      </c>
      <c r="B26" s="72">
        <v>120918</v>
      </c>
      <c r="C26" s="72" t="s">
        <v>68</v>
      </c>
      <c r="D26" s="72" t="s">
        <v>27</v>
      </c>
      <c r="E26" s="169" t="s">
        <v>66</v>
      </c>
      <c r="F26" s="167">
        <v>12000</v>
      </c>
      <c r="G26" s="100"/>
      <c r="H26" s="100">
        <f t="shared" si="0"/>
        <v>50</v>
      </c>
      <c r="I26" s="100">
        <f t="shared" si="1"/>
        <v>75</v>
      </c>
      <c r="J26" s="100">
        <f t="shared" si="2"/>
        <v>100</v>
      </c>
      <c r="K26" s="100">
        <f t="shared" si="3"/>
        <v>150</v>
      </c>
      <c r="L26" s="100">
        <v>1000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236"/>
      <c r="Y26" s="236"/>
      <c r="Z26" s="236"/>
      <c r="AA26" s="236"/>
      <c r="AB26" s="236"/>
      <c r="AC26" s="164" t="s">
        <v>554</v>
      </c>
      <c r="AD26" s="162">
        <f>ROUND(F26*0.05,0)</f>
        <v>600</v>
      </c>
      <c r="AE26" s="72"/>
      <c r="AF26" s="72">
        <f>ROUND(F26*0.0025,0)</f>
        <v>30</v>
      </c>
      <c r="AG26" s="72"/>
    </row>
    <row r="27" spans="1:33" ht="20.100000000000001" hidden="1" customHeight="1">
      <c r="A27" s="72">
        <v>24</v>
      </c>
      <c r="B27" s="72">
        <v>110367</v>
      </c>
      <c r="C27" s="72" t="s">
        <v>70</v>
      </c>
      <c r="D27" s="72" t="s">
        <v>51</v>
      </c>
      <c r="E27" s="169" t="s">
        <v>66</v>
      </c>
      <c r="F27" s="167">
        <v>12000</v>
      </c>
      <c r="G27" s="100"/>
      <c r="H27" s="100">
        <f t="shared" si="0"/>
        <v>50</v>
      </c>
      <c r="I27" s="100">
        <f t="shared" si="1"/>
        <v>75</v>
      </c>
      <c r="J27" s="100">
        <f t="shared" si="2"/>
        <v>100</v>
      </c>
      <c r="K27" s="100">
        <f t="shared" si="3"/>
        <v>150</v>
      </c>
      <c r="L27" s="100">
        <v>1000</v>
      </c>
      <c r="M27" s="100"/>
      <c r="N27" s="100"/>
      <c r="O27" s="231" t="s">
        <v>544</v>
      </c>
      <c r="P27" s="100"/>
      <c r="Q27" s="100"/>
      <c r="R27" s="100"/>
      <c r="S27" s="100"/>
      <c r="T27" s="100"/>
      <c r="U27" s="100"/>
      <c r="V27" s="100"/>
      <c r="W27" s="100"/>
      <c r="X27" s="236"/>
      <c r="Y27" s="236"/>
      <c r="Z27" s="236"/>
      <c r="AA27" s="236"/>
      <c r="AB27" s="236"/>
      <c r="AC27" s="164" t="s">
        <v>554</v>
      </c>
      <c r="AD27" s="162">
        <v>0</v>
      </c>
      <c r="AE27" s="72"/>
      <c r="AF27" s="72">
        <v>0</v>
      </c>
      <c r="AG27" s="72"/>
    </row>
    <row r="28" spans="1:33" ht="20.100000000000001" customHeight="1">
      <c r="A28" s="72">
        <v>25</v>
      </c>
      <c r="B28" s="72">
        <v>120630</v>
      </c>
      <c r="C28" s="72" t="s">
        <v>71</v>
      </c>
      <c r="D28" s="72" t="s">
        <v>43</v>
      </c>
      <c r="E28" s="169" t="s">
        <v>66</v>
      </c>
      <c r="F28" s="167">
        <v>12570</v>
      </c>
      <c r="G28" s="100"/>
      <c r="H28" s="100">
        <f t="shared" si="0"/>
        <v>52.38</v>
      </c>
      <c r="I28" s="100">
        <f t="shared" si="1"/>
        <v>78.56</v>
      </c>
      <c r="J28" s="100">
        <f t="shared" si="2"/>
        <v>104.75</v>
      </c>
      <c r="K28" s="100">
        <f t="shared" si="3"/>
        <v>157.13</v>
      </c>
      <c r="L28" s="100">
        <v>1000</v>
      </c>
      <c r="M28" s="100"/>
      <c r="N28" s="100"/>
      <c r="O28" s="100"/>
      <c r="P28" s="100"/>
      <c r="Q28" s="100"/>
      <c r="R28" s="100"/>
      <c r="S28" s="100"/>
      <c r="T28" s="100"/>
      <c r="U28" s="100">
        <v>500</v>
      </c>
      <c r="V28" s="100"/>
      <c r="W28" s="100"/>
      <c r="X28" s="236"/>
      <c r="Y28" s="236"/>
      <c r="Z28" s="236"/>
      <c r="AA28" s="236"/>
      <c r="AB28" s="236"/>
      <c r="AC28" s="164" t="s">
        <v>554</v>
      </c>
      <c r="AD28" s="162">
        <f>ROUND(F28*0.05,0)</f>
        <v>629</v>
      </c>
      <c r="AE28" s="72"/>
      <c r="AF28" s="72">
        <f>ROUND(F28*0.0025,0)</f>
        <v>31</v>
      </c>
      <c r="AG28" s="72"/>
    </row>
    <row r="29" spans="1:33" ht="20.100000000000001" hidden="1" customHeight="1">
      <c r="A29" s="72">
        <v>26</v>
      </c>
      <c r="B29" s="72">
        <v>110947</v>
      </c>
      <c r="C29" s="72" t="s">
        <v>72</v>
      </c>
      <c r="D29" s="72" t="s">
        <v>65</v>
      </c>
      <c r="E29" s="169" t="s">
        <v>73</v>
      </c>
      <c r="F29" s="167">
        <v>12000</v>
      </c>
      <c r="G29" s="100"/>
      <c r="H29" s="100">
        <f t="shared" si="0"/>
        <v>50</v>
      </c>
      <c r="I29" s="100">
        <f t="shared" si="1"/>
        <v>75</v>
      </c>
      <c r="J29" s="100">
        <f t="shared" si="2"/>
        <v>100</v>
      </c>
      <c r="K29" s="100">
        <f t="shared" si="3"/>
        <v>150</v>
      </c>
      <c r="L29" s="231" t="s">
        <v>549</v>
      </c>
      <c r="M29" s="100"/>
      <c r="N29" s="100"/>
      <c r="O29" s="100">
        <v>500</v>
      </c>
      <c r="P29" s="100"/>
      <c r="Q29" s="100"/>
      <c r="R29" s="100"/>
      <c r="S29" s="100"/>
      <c r="T29" s="100"/>
      <c r="U29" s="100"/>
      <c r="V29" s="100"/>
      <c r="W29" s="100"/>
      <c r="X29" s="236"/>
      <c r="Y29" s="236"/>
      <c r="Z29" s="236"/>
      <c r="AA29" s="236"/>
      <c r="AB29" s="236"/>
      <c r="AC29" s="164" t="s">
        <v>553</v>
      </c>
      <c r="AD29" s="162">
        <f>ROUND(F29*0.05,0)</f>
        <v>600</v>
      </c>
      <c r="AE29" s="72"/>
      <c r="AF29" s="72">
        <f>ROUND(F29*0.0025,0)</f>
        <v>30</v>
      </c>
      <c r="AG29" s="72"/>
    </row>
    <row r="30" spans="1:33" ht="20.100000000000001" hidden="1" customHeight="1">
      <c r="A30" s="72">
        <v>27</v>
      </c>
      <c r="B30" s="72">
        <v>220804</v>
      </c>
      <c r="C30" s="72" t="s">
        <v>74</v>
      </c>
      <c r="D30" s="72" t="s">
        <v>551</v>
      </c>
      <c r="E30" s="169" t="s">
        <v>73</v>
      </c>
      <c r="F30" s="167">
        <v>12000</v>
      </c>
      <c r="G30" s="100"/>
      <c r="H30" s="100">
        <f t="shared" si="0"/>
        <v>50</v>
      </c>
      <c r="I30" s="100">
        <f t="shared" si="1"/>
        <v>75</v>
      </c>
      <c r="J30" s="100">
        <f t="shared" si="2"/>
        <v>100</v>
      </c>
      <c r="K30" s="100">
        <f t="shared" si="3"/>
        <v>150</v>
      </c>
      <c r="L30" s="231" t="s">
        <v>549</v>
      </c>
      <c r="M30" s="100"/>
      <c r="N30" s="100"/>
      <c r="O30" s="100"/>
      <c r="P30" s="100"/>
      <c r="Q30" s="100"/>
      <c r="R30" s="100"/>
      <c r="S30" s="100"/>
      <c r="T30" s="231" t="s">
        <v>550</v>
      </c>
      <c r="U30" s="100"/>
      <c r="V30" s="100"/>
      <c r="W30" s="100"/>
      <c r="X30" s="236"/>
      <c r="Y30" s="236"/>
      <c r="Z30" s="236"/>
      <c r="AA30" s="236"/>
      <c r="AB30" s="236"/>
      <c r="AC30" s="164" t="s">
        <v>553</v>
      </c>
      <c r="AD30" s="162">
        <v>0</v>
      </c>
      <c r="AE30" s="72"/>
      <c r="AF30" s="72">
        <v>0</v>
      </c>
      <c r="AG30" s="72"/>
    </row>
    <row r="31" spans="1:33" ht="20.100000000000001" hidden="1" customHeight="1">
      <c r="A31" s="72">
        <v>28</v>
      </c>
      <c r="B31" s="72">
        <v>120826</v>
      </c>
      <c r="C31" s="72" t="s">
        <v>75</v>
      </c>
      <c r="D31" s="72" t="s">
        <v>552</v>
      </c>
      <c r="E31" s="169" t="s">
        <v>73</v>
      </c>
      <c r="F31" s="167">
        <v>12000</v>
      </c>
      <c r="G31" s="100"/>
      <c r="H31" s="100">
        <f t="shared" si="0"/>
        <v>50</v>
      </c>
      <c r="I31" s="100">
        <f t="shared" si="1"/>
        <v>75</v>
      </c>
      <c r="J31" s="100">
        <f t="shared" si="2"/>
        <v>100</v>
      </c>
      <c r="K31" s="100">
        <f t="shared" si="3"/>
        <v>150</v>
      </c>
      <c r="L31" s="231" t="s">
        <v>549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236"/>
      <c r="Y31" s="236"/>
      <c r="Z31" s="236"/>
      <c r="AA31" s="236"/>
      <c r="AB31" s="236"/>
      <c r="AC31" s="164" t="s">
        <v>553</v>
      </c>
      <c r="AD31" s="162">
        <v>0</v>
      </c>
      <c r="AE31" s="72"/>
      <c r="AF31" s="72">
        <v>0</v>
      </c>
      <c r="AG31" s="72"/>
    </row>
    <row r="32" spans="1:33" ht="20.100000000000001" hidden="1" customHeight="1">
      <c r="A32" s="72">
        <v>29</v>
      </c>
      <c r="B32" s="72">
        <v>110883</v>
      </c>
      <c r="C32" s="72" t="s">
        <v>76</v>
      </c>
      <c r="D32" s="72" t="s">
        <v>65</v>
      </c>
      <c r="E32" s="168" t="s">
        <v>77</v>
      </c>
      <c r="F32" s="167">
        <v>12000</v>
      </c>
      <c r="G32" s="100"/>
      <c r="H32" s="100">
        <f t="shared" si="0"/>
        <v>50</v>
      </c>
      <c r="I32" s="100">
        <f t="shared" si="1"/>
        <v>75</v>
      </c>
      <c r="J32" s="100">
        <f t="shared" si="2"/>
        <v>100</v>
      </c>
      <c r="K32" s="100">
        <f t="shared" si="3"/>
        <v>150</v>
      </c>
      <c r="L32" s="100">
        <v>1000</v>
      </c>
      <c r="M32" s="100"/>
      <c r="N32" s="100"/>
      <c r="O32" s="100">
        <v>500</v>
      </c>
      <c r="P32" s="100"/>
      <c r="Q32" s="100"/>
      <c r="R32" s="100"/>
      <c r="S32" s="100"/>
      <c r="T32" s="100"/>
      <c r="U32" s="100"/>
      <c r="V32" s="100"/>
      <c r="W32" s="100"/>
      <c r="X32" s="236"/>
      <c r="Y32" s="236"/>
      <c r="Z32" s="236"/>
      <c r="AA32" s="236"/>
      <c r="AB32" s="236"/>
      <c r="AC32" s="164" t="s">
        <v>553</v>
      </c>
      <c r="AD32" s="162">
        <f t="shared" ref="AD32:AD53" si="6">ROUND(F32*0.05,0)</f>
        <v>600</v>
      </c>
      <c r="AE32" s="72"/>
      <c r="AF32" s="72">
        <f t="shared" ref="AF32:AF54" si="7">ROUND(F32*0.0025,0)</f>
        <v>30</v>
      </c>
      <c r="AG32" s="72"/>
    </row>
    <row r="33" spans="1:33" ht="20.100000000000001" hidden="1" customHeight="1">
      <c r="A33" s="72">
        <v>30</v>
      </c>
      <c r="B33" s="72">
        <v>121072</v>
      </c>
      <c r="C33" s="72" t="s">
        <v>79</v>
      </c>
      <c r="D33" s="72" t="s">
        <v>27</v>
      </c>
      <c r="E33" s="168" t="s">
        <v>77</v>
      </c>
      <c r="F33" s="167">
        <v>12000</v>
      </c>
      <c r="G33" s="100"/>
      <c r="H33" s="100">
        <f t="shared" si="0"/>
        <v>50</v>
      </c>
      <c r="I33" s="100">
        <f t="shared" si="1"/>
        <v>75</v>
      </c>
      <c r="J33" s="100">
        <f t="shared" si="2"/>
        <v>100</v>
      </c>
      <c r="K33" s="100">
        <f t="shared" si="3"/>
        <v>150</v>
      </c>
      <c r="L33" s="100">
        <v>1000</v>
      </c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236"/>
      <c r="Y33" s="236"/>
      <c r="Z33" s="236"/>
      <c r="AA33" s="236"/>
      <c r="AB33" s="236"/>
      <c r="AC33" s="164" t="s">
        <v>553</v>
      </c>
      <c r="AD33" s="162">
        <f t="shared" si="6"/>
        <v>600</v>
      </c>
      <c r="AE33" s="72"/>
      <c r="AF33" s="72">
        <f t="shared" si="7"/>
        <v>30</v>
      </c>
      <c r="AG33" s="72"/>
    </row>
    <row r="34" spans="1:33" ht="20.100000000000001" hidden="1" customHeight="1">
      <c r="A34" s="72">
        <v>31</v>
      </c>
      <c r="B34" s="72">
        <v>120450</v>
      </c>
      <c r="C34" s="72" t="s">
        <v>82</v>
      </c>
      <c r="D34" s="72" t="s">
        <v>27</v>
      </c>
      <c r="E34" s="168" t="s">
        <v>77</v>
      </c>
      <c r="F34" s="167">
        <v>12000</v>
      </c>
      <c r="G34" s="100"/>
      <c r="H34" s="100">
        <f t="shared" si="0"/>
        <v>50</v>
      </c>
      <c r="I34" s="100">
        <f t="shared" si="1"/>
        <v>75</v>
      </c>
      <c r="J34" s="100">
        <f t="shared" si="2"/>
        <v>100</v>
      </c>
      <c r="K34" s="100">
        <f t="shared" si="3"/>
        <v>150</v>
      </c>
      <c r="L34" s="100">
        <v>1000</v>
      </c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236"/>
      <c r="Y34" s="236"/>
      <c r="Z34" s="236"/>
      <c r="AA34" s="236"/>
      <c r="AB34" s="236"/>
      <c r="AC34" s="164" t="s">
        <v>553</v>
      </c>
      <c r="AD34" s="162">
        <f t="shared" si="6"/>
        <v>600</v>
      </c>
      <c r="AE34" s="72"/>
      <c r="AF34" s="72">
        <f t="shared" si="7"/>
        <v>30</v>
      </c>
      <c r="AG34" s="72"/>
    </row>
    <row r="35" spans="1:33" ht="20.100000000000001" hidden="1" customHeight="1">
      <c r="A35" s="72">
        <v>32</v>
      </c>
      <c r="B35" s="72">
        <v>121200</v>
      </c>
      <c r="C35" s="72" t="s">
        <v>84</v>
      </c>
      <c r="D35" s="72" t="s">
        <v>27</v>
      </c>
      <c r="E35" s="168" t="s">
        <v>77</v>
      </c>
      <c r="F35" s="167">
        <v>12000</v>
      </c>
      <c r="G35" s="100"/>
      <c r="H35" s="100">
        <f t="shared" si="0"/>
        <v>50</v>
      </c>
      <c r="I35" s="100">
        <f t="shared" si="1"/>
        <v>75</v>
      </c>
      <c r="J35" s="100">
        <f t="shared" si="2"/>
        <v>100</v>
      </c>
      <c r="K35" s="100">
        <f t="shared" si="3"/>
        <v>150</v>
      </c>
      <c r="L35" s="100">
        <v>1000</v>
      </c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236"/>
      <c r="Y35" s="236"/>
      <c r="Z35" s="236"/>
      <c r="AA35" s="236"/>
      <c r="AB35" s="236"/>
      <c r="AC35" s="164" t="s">
        <v>553</v>
      </c>
      <c r="AD35" s="162">
        <f t="shared" si="6"/>
        <v>600</v>
      </c>
      <c r="AE35" s="72"/>
      <c r="AF35" s="72">
        <f t="shared" si="7"/>
        <v>30</v>
      </c>
      <c r="AG35" s="72"/>
    </row>
    <row r="36" spans="1:33" ht="20.100000000000001" customHeight="1">
      <c r="A36" s="72">
        <v>33</v>
      </c>
      <c r="B36" s="72">
        <v>120116</v>
      </c>
      <c r="C36" s="72" t="s">
        <v>86</v>
      </c>
      <c r="D36" s="72" t="s">
        <v>43</v>
      </c>
      <c r="E36" s="168" t="s">
        <v>77</v>
      </c>
      <c r="F36" s="167">
        <v>12000</v>
      </c>
      <c r="G36" s="100"/>
      <c r="H36" s="100">
        <f t="shared" si="0"/>
        <v>50</v>
      </c>
      <c r="I36" s="100">
        <f t="shared" si="1"/>
        <v>75</v>
      </c>
      <c r="J36" s="100">
        <f t="shared" si="2"/>
        <v>100</v>
      </c>
      <c r="K36" s="100">
        <f t="shared" si="3"/>
        <v>150</v>
      </c>
      <c r="L36" s="100">
        <v>1000</v>
      </c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236">
        <v>1000</v>
      </c>
      <c r="Y36" s="236"/>
      <c r="Z36" s="236"/>
      <c r="AA36" s="236"/>
      <c r="AB36" s="236"/>
      <c r="AC36" s="164" t="s">
        <v>553</v>
      </c>
      <c r="AD36" s="162">
        <f t="shared" si="6"/>
        <v>600</v>
      </c>
      <c r="AE36" s="72"/>
      <c r="AF36" s="72">
        <f t="shared" si="7"/>
        <v>30</v>
      </c>
      <c r="AG36" s="72"/>
    </row>
    <row r="37" spans="1:33" ht="20.100000000000001" hidden="1" customHeight="1">
      <c r="A37" s="72">
        <v>34</v>
      </c>
      <c r="B37" s="72">
        <v>110320</v>
      </c>
      <c r="C37" s="72" t="s">
        <v>90</v>
      </c>
      <c r="D37" s="72" t="s">
        <v>20</v>
      </c>
      <c r="E37" s="169" t="s">
        <v>91</v>
      </c>
      <c r="F37" s="167">
        <v>12000</v>
      </c>
      <c r="G37" s="100"/>
      <c r="H37" s="100">
        <f t="shared" si="0"/>
        <v>50</v>
      </c>
      <c r="I37" s="100">
        <f t="shared" si="1"/>
        <v>75</v>
      </c>
      <c r="J37" s="100">
        <f t="shared" si="2"/>
        <v>100</v>
      </c>
      <c r="K37" s="100">
        <f t="shared" si="3"/>
        <v>150</v>
      </c>
      <c r="L37" s="231" t="s">
        <v>549</v>
      </c>
      <c r="M37" s="231"/>
      <c r="N37" s="231"/>
      <c r="O37" s="100"/>
      <c r="P37" s="100"/>
      <c r="Q37" s="100">
        <v>500</v>
      </c>
      <c r="R37" s="100"/>
      <c r="S37" s="100"/>
      <c r="T37" s="100"/>
      <c r="U37" s="100"/>
      <c r="V37" s="100"/>
      <c r="W37" s="100"/>
      <c r="X37" s="236"/>
      <c r="Y37" s="236"/>
      <c r="Z37" s="236"/>
      <c r="AA37" s="236"/>
      <c r="AB37" s="236"/>
      <c r="AC37" s="164">
        <v>500</v>
      </c>
      <c r="AD37" s="162">
        <f t="shared" si="6"/>
        <v>600</v>
      </c>
      <c r="AE37" s="72"/>
      <c r="AF37" s="72">
        <f t="shared" si="7"/>
        <v>30</v>
      </c>
      <c r="AG37" s="72"/>
    </row>
    <row r="38" spans="1:33" ht="20.100000000000001" hidden="1" customHeight="1">
      <c r="A38" s="72">
        <v>35</v>
      </c>
      <c r="B38" s="72">
        <v>121063</v>
      </c>
      <c r="C38" s="72" t="s">
        <v>410</v>
      </c>
      <c r="D38" s="72" t="s">
        <v>27</v>
      </c>
      <c r="E38" s="169" t="s">
        <v>91</v>
      </c>
      <c r="F38" s="167">
        <v>12000</v>
      </c>
      <c r="G38" s="100"/>
      <c r="H38" s="100">
        <f t="shared" si="0"/>
        <v>50</v>
      </c>
      <c r="I38" s="100">
        <f t="shared" si="1"/>
        <v>75</v>
      </c>
      <c r="J38" s="100">
        <f t="shared" si="2"/>
        <v>100</v>
      </c>
      <c r="K38" s="100">
        <f t="shared" si="3"/>
        <v>150</v>
      </c>
      <c r="L38" s="231" t="s">
        <v>549</v>
      </c>
      <c r="M38" s="231"/>
      <c r="N38" s="231"/>
      <c r="O38" s="100"/>
      <c r="P38" s="100">
        <v>500</v>
      </c>
      <c r="Q38" s="100"/>
      <c r="R38" s="100"/>
      <c r="S38" s="100"/>
      <c r="T38" s="100"/>
      <c r="U38" s="100"/>
      <c r="V38" s="100"/>
      <c r="W38" s="100"/>
      <c r="X38" s="236"/>
      <c r="Y38" s="236"/>
      <c r="Z38" s="236"/>
      <c r="AA38" s="236"/>
      <c r="AB38" s="236"/>
      <c r="AC38" s="164">
        <v>500</v>
      </c>
      <c r="AD38" s="162">
        <f t="shared" si="6"/>
        <v>600</v>
      </c>
      <c r="AE38" s="72"/>
      <c r="AF38" s="72">
        <f t="shared" si="7"/>
        <v>30</v>
      </c>
      <c r="AG38" s="72"/>
    </row>
    <row r="39" spans="1:33" ht="20.100000000000001" hidden="1" customHeight="1">
      <c r="A39" s="72">
        <v>36</v>
      </c>
      <c r="B39" s="72">
        <v>120162</v>
      </c>
      <c r="C39" s="72" t="s">
        <v>92</v>
      </c>
      <c r="D39" s="72" t="s">
        <v>27</v>
      </c>
      <c r="E39" s="169" t="s">
        <v>91</v>
      </c>
      <c r="F39" s="167">
        <v>12000</v>
      </c>
      <c r="G39" s="100"/>
      <c r="H39" s="100">
        <f t="shared" si="0"/>
        <v>50</v>
      </c>
      <c r="I39" s="100">
        <f t="shared" si="1"/>
        <v>75</v>
      </c>
      <c r="J39" s="100">
        <f t="shared" si="2"/>
        <v>100</v>
      </c>
      <c r="K39" s="100">
        <f t="shared" si="3"/>
        <v>150</v>
      </c>
      <c r="L39" s="231" t="s">
        <v>549</v>
      </c>
      <c r="M39" s="231"/>
      <c r="N39" s="231"/>
      <c r="O39" s="100"/>
      <c r="P39" s="100">
        <v>500</v>
      </c>
      <c r="Q39" s="100"/>
      <c r="R39" s="100"/>
      <c r="S39" s="100"/>
      <c r="T39" s="100"/>
      <c r="U39" s="100"/>
      <c r="V39" s="100"/>
      <c r="W39" s="100"/>
      <c r="X39" s="236"/>
      <c r="Y39" s="236"/>
      <c r="Z39" s="236"/>
      <c r="AA39" s="236"/>
      <c r="AB39" s="236"/>
      <c r="AC39" s="164">
        <v>500</v>
      </c>
      <c r="AD39" s="162">
        <f t="shared" si="6"/>
        <v>600</v>
      </c>
      <c r="AE39" s="72"/>
      <c r="AF39" s="72">
        <f t="shared" si="7"/>
        <v>30</v>
      </c>
      <c r="AG39" s="72"/>
    </row>
    <row r="40" spans="1:33" ht="20.100000000000001" hidden="1" customHeight="1">
      <c r="A40" s="72">
        <v>37</v>
      </c>
      <c r="B40" s="72">
        <v>120967</v>
      </c>
      <c r="C40" s="72" t="s">
        <v>93</v>
      </c>
      <c r="D40" s="72" t="s">
        <v>27</v>
      </c>
      <c r="E40" s="169" t="s">
        <v>91</v>
      </c>
      <c r="F40" s="167">
        <v>12000</v>
      </c>
      <c r="G40" s="100"/>
      <c r="H40" s="100">
        <f t="shared" si="0"/>
        <v>50</v>
      </c>
      <c r="I40" s="100">
        <f t="shared" si="1"/>
        <v>75</v>
      </c>
      <c r="J40" s="100">
        <f t="shared" si="2"/>
        <v>100</v>
      </c>
      <c r="K40" s="100">
        <f t="shared" si="3"/>
        <v>150</v>
      </c>
      <c r="L40" s="231" t="s">
        <v>549</v>
      </c>
      <c r="M40" s="231"/>
      <c r="N40" s="231"/>
      <c r="O40" s="100"/>
      <c r="P40" s="100">
        <v>500</v>
      </c>
      <c r="Q40" s="100"/>
      <c r="R40" s="100"/>
      <c r="S40" s="100"/>
      <c r="T40" s="100"/>
      <c r="U40" s="100"/>
      <c r="V40" s="100"/>
      <c r="W40" s="100"/>
      <c r="X40" s="236"/>
      <c r="Y40" s="236"/>
      <c r="Z40" s="236"/>
      <c r="AA40" s="236"/>
      <c r="AB40" s="236"/>
      <c r="AC40" s="164">
        <v>500</v>
      </c>
      <c r="AD40" s="162">
        <f t="shared" si="6"/>
        <v>600</v>
      </c>
      <c r="AE40" s="72"/>
      <c r="AF40" s="72">
        <f t="shared" si="7"/>
        <v>30</v>
      </c>
      <c r="AG40" s="72"/>
    </row>
    <row r="41" spans="1:33" ht="20.100000000000001" hidden="1" customHeight="1">
      <c r="A41" s="72">
        <v>38</v>
      </c>
      <c r="B41" s="72">
        <v>121048</v>
      </c>
      <c r="C41" s="72" t="s">
        <v>94</v>
      </c>
      <c r="D41" s="72" t="s">
        <v>27</v>
      </c>
      <c r="E41" s="169" t="s">
        <v>91</v>
      </c>
      <c r="F41" s="167">
        <v>12000</v>
      </c>
      <c r="G41" s="100"/>
      <c r="H41" s="100">
        <f t="shared" si="0"/>
        <v>50</v>
      </c>
      <c r="I41" s="100">
        <f t="shared" si="1"/>
        <v>75</v>
      </c>
      <c r="J41" s="100">
        <f t="shared" si="2"/>
        <v>100</v>
      </c>
      <c r="K41" s="100">
        <f t="shared" si="3"/>
        <v>150</v>
      </c>
      <c r="L41" s="231" t="s">
        <v>549</v>
      </c>
      <c r="M41" s="231"/>
      <c r="N41" s="231"/>
      <c r="O41" s="100"/>
      <c r="P41" s="100"/>
      <c r="Q41" s="100"/>
      <c r="R41" s="100"/>
      <c r="S41" s="100"/>
      <c r="T41" s="100"/>
      <c r="U41" s="100"/>
      <c r="V41" s="100"/>
      <c r="W41" s="100"/>
      <c r="X41" s="236"/>
      <c r="Y41" s="236"/>
      <c r="Z41" s="236"/>
      <c r="AA41" s="236"/>
      <c r="AB41" s="236"/>
      <c r="AC41" s="164">
        <v>500</v>
      </c>
      <c r="AD41" s="162">
        <f t="shared" si="6"/>
        <v>600</v>
      </c>
      <c r="AE41" s="72"/>
      <c r="AF41" s="72">
        <f t="shared" si="7"/>
        <v>30</v>
      </c>
      <c r="AG41" s="72"/>
    </row>
    <row r="42" spans="1:33" ht="20.100000000000001" hidden="1" customHeight="1">
      <c r="A42" s="72">
        <v>39</v>
      </c>
      <c r="B42" s="72">
        <v>121302</v>
      </c>
      <c r="C42" s="72" t="s">
        <v>95</v>
      </c>
      <c r="D42" s="72" t="s">
        <v>27</v>
      </c>
      <c r="E42" s="169" t="s">
        <v>91</v>
      </c>
      <c r="F42" s="167">
        <v>12000</v>
      </c>
      <c r="G42" s="100"/>
      <c r="H42" s="100">
        <f t="shared" si="0"/>
        <v>50</v>
      </c>
      <c r="I42" s="100">
        <f t="shared" si="1"/>
        <v>75</v>
      </c>
      <c r="J42" s="100">
        <f t="shared" si="2"/>
        <v>100</v>
      </c>
      <c r="K42" s="100">
        <f t="shared" si="3"/>
        <v>150</v>
      </c>
      <c r="L42" s="231" t="s">
        <v>549</v>
      </c>
      <c r="M42" s="231"/>
      <c r="N42" s="231"/>
      <c r="O42" s="100"/>
      <c r="P42" s="100"/>
      <c r="Q42" s="100"/>
      <c r="R42" s="100"/>
      <c r="S42" s="100"/>
      <c r="T42" s="100"/>
      <c r="U42" s="100"/>
      <c r="V42" s="100"/>
      <c r="W42" s="100"/>
      <c r="X42" s="236"/>
      <c r="Y42" s="236"/>
      <c r="Z42" s="236"/>
      <c r="AA42" s="236"/>
      <c r="AB42" s="236"/>
      <c r="AC42" s="164">
        <v>500</v>
      </c>
      <c r="AD42" s="162">
        <f t="shared" si="6"/>
        <v>600</v>
      </c>
      <c r="AE42" s="72"/>
      <c r="AF42" s="72">
        <f t="shared" si="7"/>
        <v>30</v>
      </c>
      <c r="AG42" s="72"/>
    </row>
    <row r="43" spans="1:33" ht="20.100000000000001" hidden="1" customHeight="1">
      <c r="A43" s="72">
        <v>40</v>
      </c>
      <c r="B43" s="72">
        <v>110792</v>
      </c>
      <c r="C43" s="72" t="s">
        <v>96</v>
      </c>
      <c r="D43" s="72" t="s">
        <v>65</v>
      </c>
      <c r="E43" s="169" t="s">
        <v>97</v>
      </c>
      <c r="F43" s="167">
        <v>12000</v>
      </c>
      <c r="G43" s="100"/>
      <c r="H43" s="100">
        <f t="shared" si="0"/>
        <v>50</v>
      </c>
      <c r="I43" s="100">
        <f t="shared" si="1"/>
        <v>75</v>
      </c>
      <c r="J43" s="100">
        <f t="shared" si="2"/>
        <v>100</v>
      </c>
      <c r="K43" s="100">
        <f t="shared" si="3"/>
        <v>150</v>
      </c>
      <c r="L43" s="231" t="s">
        <v>549</v>
      </c>
      <c r="M43" s="100"/>
      <c r="N43" s="100"/>
      <c r="O43" s="100">
        <v>500</v>
      </c>
      <c r="P43" s="100"/>
      <c r="Q43" s="100"/>
      <c r="R43" s="100"/>
      <c r="S43" s="100"/>
      <c r="T43" s="100"/>
      <c r="U43" s="100"/>
      <c r="V43" s="100"/>
      <c r="W43" s="100"/>
      <c r="X43" s="236"/>
      <c r="Y43" s="236"/>
      <c r="Z43" s="236"/>
      <c r="AA43" s="236"/>
      <c r="AB43" s="236"/>
      <c r="AC43" s="164" t="s">
        <v>553</v>
      </c>
      <c r="AD43" s="162">
        <f t="shared" si="6"/>
        <v>600</v>
      </c>
      <c r="AE43" s="72"/>
      <c r="AF43" s="72">
        <f t="shared" si="7"/>
        <v>30</v>
      </c>
      <c r="AG43" s="72"/>
    </row>
    <row r="44" spans="1:33" ht="20.100000000000001" hidden="1" customHeight="1">
      <c r="A44" s="72">
        <v>41</v>
      </c>
      <c r="B44" s="72">
        <v>120185</v>
      </c>
      <c r="C44" s="72" t="s">
        <v>98</v>
      </c>
      <c r="D44" s="72" t="s">
        <v>27</v>
      </c>
      <c r="E44" s="169" t="s">
        <v>97</v>
      </c>
      <c r="F44" s="167">
        <v>12000</v>
      </c>
      <c r="G44" s="100"/>
      <c r="H44" s="100">
        <f t="shared" si="0"/>
        <v>50</v>
      </c>
      <c r="I44" s="100">
        <f t="shared" si="1"/>
        <v>75</v>
      </c>
      <c r="J44" s="100">
        <f t="shared" si="2"/>
        <v>100</v>
      </c>
      <c r="K44" s="100">
        <f t="shared" si="3"/>
        <v>150</v>
      </c>
      <c r="L44" s="231" t="s">
        <v>549</v>
      </c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236"/>
      <c r="Y44" s="236"/>
      <c r="Z44" s="236"/>
      <c r="AA44" s="236"/>
      <c r="AB44" s="236"/>
      <c r="AC44" s="164" t="s">
        <v>553</v>
      </c>
      <c r="AD44" s="162">
        <f t="shared" si="6"/>
        <v>600</v>
      </c>
      <c r="AE44" s="72"/>
      <c r="AF44" s="72">
        <f t="shared" si="7"/>
        <v>30</v>
      </c>
      <c r="AG44" s="72"/>
    </row>
    <row r="45" spans="1:33" ht="20.100000000000001" hidden="1" customHeight="1">
      <c r="A45" s="72">
        <v>42</v>
      </c>
      <c r="B45" s="72">
        <v>120940</v>
      </c>
      <c r="C45" s="72" t="s">
        <v>99</v>
      </c>
      <c r="D45" s="72" t="s">
        <v>27</v>
      </c>
      <c r="E45" s="169" t="s">
        <v>97</v>
      </c>
      <c r="F45" s="167">
        <v>12000</v>
      </c>
      <c r="G45" s="100"/>
      <c r="H45" s="100">
        <f t="shared" si="0"/>
        <v>50</v>
      </c>
      <c r="I45" s="100">
        <f t="shared" si="1"/>
        <v>75</v>
      </c>
      <c r="J45" s="100">
        <f t="shared" si="2"/>
        <v>100</v>
      </c>
      <c r="K45" s="100">
        <f t="shared" si="3"/>
        <v>150</v>
      </c>
      <c r="L45" s="231" t="s">
        <v>549</v>
      </c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236"/>
      <c r="Y45" s="236"/>
      <c r="Z45" s="236"/>
      <c r="AA45" s="236"/>
      <c r="AB45" s="236"/>
      <c r="AC45" s="164" t="s">
        <v>553</v>
      </c>
      <c r="AD45" s="162">
        <f t="shared" si="6"/>
        <v>600</v>
      </c>
      <c r="AE45" s="72"/>
      <c r="AF45" s="72">
        <f t="shared" si="7"/>
        <v>30</v>
      </c>
      <c r="AG45" s="72"/>
    </row>
    <row r="46" spans="1:33" ht="20.100000000000001" hidden="1" customHeight="1">
      <c r="A46" s="72">
        <v>43</v>
      </c>
      <c r="B46" s="72">
        <v>120768</v>
      </c>
      <c r="C46" s="72" t="s">
        <v>100</v>
      </c>
      <c r="D46" s="72" t="s">
        <v>27</v>
      </c>
      <c r="E46" s="169" t="s">
        <v>101</v>
      </c>
      <c r="F46" s="167">
        <v>12000</v>
      </c>
      <c r="G46" s="100"/>
      <c r="H46" s="100">
        <f t="shared" si="0"/>
        <v>50</v>
      </c>
      <c r="I46" s="100">
        <f t="shared" si="1"/>
        <v>75</v>
      </c>
      <c r="J46" s="100">
        <f t="shared" si="2"/>
        <v>100</v>
      </c>
      <c r="K46" s="100">
        <f t="shared" si="3"/>
        <v>150</v>
      </c>
      <c r="L46" s="231" t="s">
        <v>549</v>
      </c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236"/>
      <c r="Y46" s="236"/>
      <c r="Z46" s="236"/>
      <c r="AA46" s="236"/>
      <c r="AB46" s="236"/>
      <c r="AC46" s="164" t="s">
        <v>553</v>
      </c>
      <c r="AD46" s="162">
        <f t="shared" si="6"/>
        <v>600</v>
      </c>
      <c r="AE46" s="72"/>
      <c r="AF46" s="72">
        <f t="shared" si="7"/>
        <v>30</v>
      </c>
      <c r="AG46" s="72"/>
    </row>
    <row r="47" spans="1:33" ht="20.100000000000001" hidden="1" customHeight="1">
      <c r="A47" s="72">
        <v>44</v>
      </c>
      <c r="B47" s="72">
        <v>120887</v>
      </c>
      <c r="C47" s="72" t="s">
        <v>102</v>
      </c>
      <c r="D47" s="72" t="s">
        <v>27</v>
      </c>
      <c r="E47" s="169" t="s">
        <v>101</v>
      </c>
      <c r="F47" s="167">
        <v>12000</v>
      </c>
      <c r="G47" s="100"/>
      <c r="H47" s="100">
        <f t="shared" si="0"/>
        <v>50</v>
      </c>
      <c r="I47" s="100">
        <f t="shared" si="1"/>
        <v>75</v>
      </c>
      <c r="J47" s="100">
        <f t="shared" si="2"/>
        <v>100</v>
      </c>
      <c r="K47" s="100">
        <f t="shared" si="3"/>
        <v>150</v>
      </c>
      <c r="L47" s="231" t="s">
        <v>549</v>
      </c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236"/>
      <c r="Y47" s="236"/>
      <c r="Z47" s="236"/>
      <c r="AA47" s="236"/>
      <c r="AB47" s="236"/>
      <c r="AC47" s="164" t="s">
        <v>553</v>
      </c>
      <c r="AD47" s="162">
        <f t="shared" si="6"/>
        <v>600</v>
      </c>
      <c r="AE47" s="72"/>
      <c r="AF47" s="72">
        <f t="shared" si="7"/>
        <v>30</v>
      </c>
      <c r="AG47" s="72"/>
    </row>
    <row r="48" spans="1:33" ht="20.100000000000001" hidden="1" customHeight="1">
      <c r="A48" s="72">
        <v>45</v>
      </c>
      <c r="B48" s="72">
        <v>120980</v>
      </c>
      <c r="C48" s="72" t="s">
        <v>103</v>
      </c>
      <c r="D48" s="72" t="s">
        <v>27</v>
      </c>
      <c r="E48" s="169" t="s">
        <v>101</v>
      </c>
      <c r="F48" s="167">
        <v>12000</v>
      </c>
      <c r="G48" s="100"/>
      <c r="H48" s="100">
        <f t="shared" si="0"/>
        <v>50</v>
      </c>
      <c r="I48" s="100">
        <f t="shared" si="1"/>
        <v>75</v>
      </c>
      <c r="J48" s="100">
        <f t="shared" si="2"/>
        <v>100</v>
      </c>
      <c r="K48" s="100">
        <f t="shared" si="3"/>
        <v>150</v>
      </c>
      <c r="L48" s="231" t="s">
        <v>549</v>
      </c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236"/>
      <c r="Y48" s="236"/>
      <c r="Z48" s="236"/>
      <c r="AA48" s="236"/>
      <c r="AB48" s="236"/>
      <c r="AC48" s="164" t="s">
        <v>553</v>
      </c>
      <c r="AD48" s="162">
        <f t="shared" si="6"/>
        <v>600</v>
      </c>
      <c r="AE48" s="72"/>
      <c r="AF48" s="72">
        <f t="shared" si="7"/>
        <v>30</v>
      </c>
      <c r="AG48" s="72"/>
    </row>
    <row r="49" spans="1:33" ht="20.100000000000001" hidden="1" customHeight="1">
      <c r="A49" s="72">
        <v>46</v>
      </c>
      <c r="B49" s="72">
        <v>120871</v>
      </c>
      <c r="C49" s="72" t="s">
        <v>104</v>
      </c>
      <c r="D49" s="72" t="s">
        <v>27</v>
      </c>
      <c r="E49" s="169" t="s">
        <v>105</v>
      </c>
      <c r="F49" s="167">
        <v>12000</v>
      </c>
      <c r="G49" s="100"/>
      <c r="H49" s="100">
        <f t="shared" si="0"/>
        <v>50</v>
      </c>
      <c r="I49" s="100">
        <f t="shared" si="1"/>
        <v>75</v>
      </c>
      <c r="J49" s="100">
        <f t="shared" si="2"/>
        <v>100</v>
      </c>
      <c r="K49" s="100">
        <f t="shared" si="3"/>
        <v>150</v>
      </c>
      <c r="L49" s="231" t="s">
        <v>549</v>
      </c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236"/>
      <c r="Y49" s="236"/>
      <c r="Z49" s="236"/>
      <c r="AA49" s="236"/>
      <c r="AB49" s="236"/>
      <c r="AC49" s="164" t="s">
        <v>553</v>
      </c>
      <c r="AD49" s="162">
        <f t="shared" si="6"/>
        <v>600</v>
      </c>
      <c r="AE49" s="72"/>
      <c r="AF49" s="72">
        <f t="shared" si="7"/>
        <v>30</v>
      </c>
      <c r="AG49" s="72"/>
    </row>
    <row r="50" spans="1:33" ht="20.100000000000001" hidden="1" customHeight="1">
      <c r="A50" s="72">
        <v>47</v>
      </c>
      <c r="B50" s="72">
        <v>120321</v>
      </c>
      <c r="C50" s="72" t="s">
        <v>106</v>
      </c>
      <c r="D50" s="72" t="s">
        <v>27</v>
      </c>
      <c r="E50" s="169" t="s">
        <v>105</v>
      </c>
      <c r="F50" s="167">
        <v>12000</v>
      </c>
      <c r="G50" s="100"/>
      <c r="H50" s="100">
        <f t="shared" si="0"/>
        <v>50</v>
      </c>
      <c r="I50" s="100">
        <f t="shared" si="1"/>
        <v>75</v>
      </c>
      <c r="J50" s="100">
        <f t="shared" si="2"/>
        <v>100</v>
      </c>
      <c r="K50" s="100">
        <f t="shared" si="3"/>
        <v>150</v>
      </c>
      <c r="L50" s="231" t="s">
        <v>549</v>
      </c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236"/>
      <c r="Y50" s="236"/>
      <c r="Z50" s="236"/>
      <c r="AA50" s="236"/>
      <c r="AB50" s="236"/>
      <c r="AC50" s="164" t="s">
        <v>553</v>
      </c>
      <c r="AD50" s="162">
        <f t="shared" si="6"/>
        <v>600</v>
      </c>
      <c r="AE50" s="72"/>
      <c r="AF50" s="72">
        <f t="shared" si="7"/>
        <v>30</v>
      </c>
      <c r="AG50" s="72"/>
    </row>
    <row r="51" spans="1:33" ht="20.100000000000001" hidden="1" customHeight="1">
      <c r="A51" s="72">
        <v>48</v>
      </c>
      <c r="B51" s="72">
        <v>120640</v>
      </c>
      <c r="C51" s="72" t="s">
        <v>107</v>
      </c>
      <c r="D51" s="72" t="s">
        <v>27</v>
      </c>
      <c r="E51" s="169" t="s">
        <v>105</v>
      </c>
      <c r="F51" s="167">
        <v>12000</v>
      </c>
      <c r="G51" s="100"/>
      <c r="H51" s="100">
        <f t="shared" si="0"/>
        <v>50</v>
      </c>
      <c r="I51" s="100">
        <f t="shared" si="1"/>
        <v>75</v>
      </c>
      <c r="J51" s="100">
        <f t="shared" si="2"/>
        <v>100</v>
      </c>
      <c r="K51" s="100">
        <f t="shared" si="3"/>
        <v>150</v>
      </c>
      <c r="L51" s="231" t="s">
        <v>549</v>
      </c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236"/>
      <c r="Y51" s="236"/>
      <c r="Z51" s="236"/>
      <c r="AA51" s="236"/>
      <c r="AB51" s="236"/>
      <c r="AC51" s="164" t="s">
        <v>553</v>
      </c>
      <c r="AD51" s="162">
        <f t="shared" si="6"/>
        <v>600</v>
      </c>
      <c r="AE51" s="72"/>
      <c r="AF51" s="72">
        <f t="shared" si="7"/>
        <v>30</v>
      </c>
      <c r="AG51" s="72"/>
    </row>
    <row r="52" spans="1:33" ht="20.100000000000001" hidden="1" customHeight="1">
      <c r="A52" s="72">
        <v>49</v>
      </c>
      <c r="B52" s="72">
        <v>120822</v>
      </c>
      <c r="C52" s="72" t="s">
        <v>108</v>
      </c>
      <c r="D52" s="72" t="s">
        <v>109</v>
      </c>
      <c r="E52" s="170" t="s">
        <v>110</v>
      </c>
      <c r="F52" s="167">
        <v>12000</v>
      </c>
      <c r="G52" s="100"/>
      <c r="H52" s="100">
        <f t="shared" si="0"/>
        <v>50</v>
      </c>
      <c r="I52" s="100">
        <f t="shared" si="1"/>
        <v>75</v>
      </c>
      <c r="J52" s="100">
        <f t="shared" si="2"/>
        <v>100</v>
      </c>
      <c r="K52" s="100">
        <f t="shared" si="3"/>
        <v>150</v>
      </c>
      <c r="L52" s="100">
        <v>1500</v>
      </c>
      <c r="M52" s="100"/>
      <c r="N52" s="100"/>
      <c r="O52" s="100"/>
      <c r="P52" s="100"/>
      <c r="Q52" s="100"/>
      <c r="R52" s="100"/>
      <c r="S52" s="100"/>
      <c r="T52" s="100"/>
      <c r="U52" s="100">
        <v>1000</v>
      </c>
      <c r="V52" s="100">
        <v>1000</v>
      </c>
      <c r="W52" s="100"/>
      <c r="X52" s="236"/>
      <c r="Y52" s="236"/>
      <c r="Z52" s="236"/>
      <c r="AA52" s="236"/>
      <c r="AB52" s="236"/>
      <c r="AC52" s="164" t="s">
        <v>553</v>
      </c>
      <c r="AD52" s="162">
        <f t="shared" si="6"/>
        <v>600</v>
      </c>
      <c r="AE52" s="72"/>
      <c r="AF52" s="72">
        <f t="shared" si="7"/>
        <v>30</v>
      </c>
      <c r="AG52" s="72"/>
    </row>
    <row r="53" spans="1:33" ht="20.100000000000001" hidden="1" customHeight="1">
      <c r="A53" s="72">
        <v>50</v>
      </c>
      <c r="B53" s="72">
        <v>120524</v>
      </c>
      <c r="C53" s="72" t="s">
        <v>111</v>
      </c>
      <c r="D53" s="72" t="s">
        <v>562</v>
      </c>
      <c r="E53" s="170" t="s">
        <v>110</v>
      </c>
      <c r="F53" s="167">
        <v>12000</v>
      </c>
      <c r="G53" s="100"/>
      <c r="H53" s="100">
        <f t="shared" si="0"/>
        <v>50</v>
      </c>
      <c r="I53" s="100">
        <f t="shared" si="1"/>
        <v>75</v>
      </c>
      <c r="J53" s="100">
        <f t="shared" si="2"/>
        <v>100</v>
      </c>
      <c r="K53" s="100">
        <f t="shared" si="3"/>
        <v>150</v>
      </c>
      <c r="L53" s="100">
        <v>4000</v>
      </c>
      <c r="M53" s="100"/>
      <c r="N53" s="100"/>
      <c r="O53" s="100"/>
      <c r="P53" s="100"/>
      <c r="Q53" s="100">
        <v>1000</v>
      </c>
      <c r="R53" s="100"/>
      <c r="S53" s="100"/>
      <c r="T53" s="100"/>
      <c r="U53" s="100"/>
      <c r="V53" s="100"/>
      <c r="W53" s="100"/>
      <c r="X53" s="236"/>
      <c r="Y53" s="236"/>
      <c r="Z53" s="236"/>
      <c r="AA53" s="236"/>
      <c r="AB53" s="236"/>
      <c r="AC53" s="164" t="s">
        <v>553</v>
      </c>
      <c r="AD53" s="162">
        <f t="shared" si="6"/>
        <v>600</v>
      </c>
      <c r="AE53" s="72"/>
      <c r="AF53" s="72">
        <f t="shared" si="7"/>
        <v>30</v>
      </c>
      <c r="AG53" s="72"/>
    </row>
    <row r="54" spans="1:33" ht="20.100000000000001" hidden="1" customHeight="1">
      <c r="A54" s="72">
        <v>51</v>
      </c>
      <c r="B54" s="72">
        <v>120143</v>
      </c>
      <c r="C54" s="72" t="s">
        <v>112</v>
      </c>
      <c r="D54" s="72" t="s">
        <v>113</v>
      </c>
      <c r="E54" s="170" t="s">
        <v>110</v>
      </c>
      <c r="F54" s="167">
        <v>20000</v>
      </c>
      <c r="G54" s="100"/>
      <c r="H54" s="100">
        <f t="shared" si="0"/>
        <v>83.33</v>
      </c>
      <c r="I54" s="100">
        <f t="shared" si="1"/>
        <v>125</v>
      </c>
      <c r="J54" s="100">
        <f t="shared" si="2"/>
        <v>166.67</v>
      </c>
      <c r="K54" s="100">
        <f t="shared" si="3"/>
        <v>250</v>
      </c>
      <c r="L54" s="100">
        <v>1500</v>
      </c>
      <c r="M54" s="100"/>
      <c r="N54" s="100"/>
      <c r="O54" s="100"/>
      <c r="P54" s="100"/>
      <c r="Q54" s="100">
        <v>2000</v>
      </c>
      <c r="R54" s="100"/>
      <c r="S54" s="100"/>
      <c r="T54" s="100"/>
      <c r="U54" s="100"/>
      <c r="V54" s="100">
        <v>2000</v>
      </c>
      <c r="W54" s="100"/>
      <c r="X54" s="236"/>
      <c r="Y54" s="236"/>
      <c r="Z54" s="236"/>
      <c r="AA54" s="236"/>
      <c r="AB54" s="236"/>
      <c r="AC54" s="164" t="s">
        <v>553</v>
      </c>
      <c r="AD54" s="162">
        <f>ROUND(17500*0.05,0)</f>
        <v>875</v>
      </c>
      <c r="AE54" s="72">
        <v>200</v>
      </c>
      <c r="AF54" s="72">
        <f t="shared" si="7"/>
        <v>50</v>
      </c>
      <c r="AG54" s="72"/>
    </row>
    <row r="55" spans="1:33" ht="20.100000000000001" hidden="1" customHeight="1">
      <c r="A55" s="72">
        <v>52</v>
      </c>
      <c r="B55" s="72">
        <v>121095</v>
      </c>
      <c r="C55" s="72" t="s">
        <v>114</v>
      </c>
      <c r="D55" s="72" t="s">
        <v>115</v>
      </c>
      <c r="E55" s="170" t="s">
        <v>110</v>
      </c>
      <c r="F55" s="167">
        <v>15000</v>
      </c>
      <c r="G55" s="100"/>
      <c r="H55" s="100">
        <f t="shared" si="0"/>
        <v>62.5</v>
      </c>
      <c r="I55" s="100">
        <f t="shared" si="1"/>
        <v>93.75</v>
      </c>
      <c r="J55" s="100">
        <f t="shared" si="2"/>
        <v>125</v>
      </c>
      <c r="K55" s="100">
        <f t="shared" si="3"/>
        <v>187.5</v>
      </c>
      <c r="L55" s="100">
        <v>5000</v>
      </c>
      <c r="M55" s="100"/>
      <c r="N55" s="100"/>
      <c r="O55" s="100"/>
      <c r="P55" s="100"/>
      <c r="Q55" s="100">
        <v>1000</v>
      </c>
      <c r="R55" s="100"/>
      <c r="S55" s="100"/>
      <c r="T55" s="100"/>
      <c r="U55" s="100"/>
      <c r="V55" s="100">
        <v>1000</v>
      </c>
      <c r="W55" s="100"/>
      <c r="X55" s="236"/>
      <c r="Y55" s="236"/>
      <c r="Z55" s="236"/>
      <c r="AA55" s="236"/>
      <c r="AB55" s="236"/>
      <c r="AC55" s="164" t="s">
        <v>553</v>
      </c>
      <c r="AD55" s="162">
        <v>0</v>
      </c>
      <c r="AE55" s="72"/>
      <c r="AF55" s="72">
        <v>0</v>
      </c>
      <c r="AG55" s="72"/>
    </row>
    <row r="56" spans="1:33" ht="20.100000000000001" hidden="1" customHeight="1">
      <c r="A56" s="72">
        <v>53</v>
      </c>
      <c r="B56" s="72">
        <v>120001</v>
      </c>
      <c r="C56" s="72" t="s">
        <v>116</v>
      </c>
      <c r="D56" s="72" t="s">
        <v>117</v>
      </c>
      <c r="E56" s="170" t="s">
        <v>110</v>
      </c>
      <c r="F56" s="167">
        <v>30000</v>
      </c>
      <c r="G56" s="100"/>
      <c r="H56" s="100">
        <f t="shared" si="0"/>
        <v>125</v>
      </c>
      <c r="I56" s="100">
        <f t="shared" si="1"/>
        <v>187.5</v>
      </c>
      <c r="J56" s="100">
        <f t="shared" si="2"/>
        <v>250</v>
      </c>
      <c r="K56" s="100">
        <f t="shared" si="3"/>
        <v>375</v>
      </c>
      <c r="L56" s="100"/>
      <c r="M56" s="100"/>
      <c r="N56" s="100"/>
      <c r="O56" s="100"/>
      <c r="P56" s="100"/>
      <c r="Q56" s="100"/>
      <c r="R56" s="100"/>
      <c r="S56" s="100">
        <v>2000</v>
      </c>
      <c r="T56" s="100"/>
      <c r="U56" s="100"/>
      <c r="V56" s="100"/>
      <c r="W56" s="100"/>
      <c r="X56" s="236"/>
      <c r="Y56" s="236"/>
      <c r="Z56" s="236"/>
      <c r="AA56" s="236"/>
      <c r="AB56" s="236"/>
      <c r="AC56" s="164">
        <v>0</v>
      </c>
      <c r="AD56" s="162">
        <v>0</v>
      </c>
      <c r="AE56" s="72">
        <v>400</v>
      </c>
      <c r="AF56" s="72">
        <v>0</v>
      </c>
      <c r="AG56" s="72"/>
    </row>
    <row r="57" spans="1:33" ht="20.100000000000001" hidden="1" customHeight="1">
      <c r="A57" s="72">
        <v>54</v>
      </c>
      <c r="B57" s="72">
        <v>120886</v>
      </c>
      <c r="C57" s="72" t="s">
        <v>118</v>
      </c>
      <c r="D57" s="72" t="s">
        <v>119</v>
      </c>
      <c r="E57" s="170" t="s">
        <v>110</v>
      </c>
      <c r="F57" s="167">
        <v>12000</v>
      </c>
      <c r="G57" s="100"/>
      <c r="H57" s="100">
        <f t="shared" si="0"/>
        <v>50</v>
      </c>
      <c r="I57" s="100">
        <f t="shared" si="1"/>
        <v>75</v>
      </c>
      <c r="J57" s="100">
        <f t="shared" si="2"/>
        <v>100</v>
      </c>
      <c r="K57" s="100">
        <f t="shared" si="3"/>
        <v>150</v>
      </c>
      <c r="L57" s="100">
        <v>4000</v>
      </c>
      <c r="M57" s="100"/>
      <c r="N57" s="100"/>
      <c r="O57" s="100"/>
      <c r="P57" s="100"/>
      <c r="Q57" s="100">
        <v>3000</v>
      </c>
      <c r="R57" s="100">
        <v>1000</v>
      </c>
      <c r="S57" s="100">
        <v>1000</v>
      </c>
      <c r="T57" s="100"/>
      <c r="U57" s="100">
        <v>1000</v>
      </c>
      <c r="V57" s="100">
        <v>1000</v>
      </c>
      <c r="W57" s="100"/>
      <c r="X57" s="236"/>
      <c r="Y57" s="236"/>
      <c r="Z57" s="236"/>
      <c r="AA57" s="236"/>
      <c r="AB57" s="236"/>
      <c r="AC57" s="164" t="s">
        <v>553</v>
      </c>
      <c r="AD57" s="162">
        <f>ROUND(F57*0.05,0)</f>
        <v>600</v>
      </c>
      <c r="AE57" s="72"/>
      <c r="AF57" s="72">
        <f>ROUND(F57*0.0025,0)</f>
        <v>30</v>
      </c>
      <c r="AG57" s="72"/>
    </row>
    <row r="58" spans="1:33" ht="20.100000000000001" hidden="1" customHeight="1">
      <c r="A58" s="72">
        <v>55</v>
      </c>
      <c r="B58" s="72">
        <v>120699</v>
      </c>
      <c r="C58" s="72" t="s">
        <v>120</v>
      </c>
      <c r="D58" s="72" t="s">
        <v>121</v>
      </c>
      <c r="E58" s="170" t="s">
        <v>110</v>
      </c>
      <c r="F58" s="167">
        <v>12000</v>
      </c>
      <c r="G58" s="100"/>
      <c r="H58" s="100">
        <f t="shared" si="0"/>
        <v>50</v>
      </c>
      <c r="I58" s="100">
        <f t="shared" si="1"/>
        <v>75</v>
      </c>
      <c r="J58" s="100">
        <f t="shared" si="2"/>
        <v>100</v>
      </c>
      <c r="K58" s="100">
        <f t="shared" si="3"/>
        <v>150</v>
      </c>
      <c r="L58" s="100">
        <v>1000</v>
      </c>
      <c r="M58" s="100"/>
      <c r="N58" s="100"/>
      <c r="O58" s="100"/>
      <c r="P58" s="100"/>
      <c r="Q58" s="100">
        <v>1000</v>
      </c>
      <c r="R58" s="100">
        <v>2000</v>
      </c>
      <c r="S58" s="100">
        <v>2000</v>
      </c>
      <c r="T58" s="100"/>
      <c r="U58" s="100"/>
      <c r="V58" s="100">
        <v>1000</v>
      </c>
      <c r="W58" s="100"/>
      <c r="X58" s="236"/>
      <c r="Y58" s="236"/>
      <c r="Z58" s="236"/>
      <c r="AA58" s="236"/>
      <c r="AB58" s="236"/>
      <c r="AC58" s="164" t="s">
        <v>553</v>
      </c>
      <c r="AD58" s="162">
        <f>ROUND(F58*0.05,0)</f>
        <v>600</v>
      </c>
      <c r="AE58" s="72"/>
      <c r="AF58" s="72">
        <f>ROUND(F58*0.0025,0)</f>
        <v>30</v>
      </c>
      <c r="AG58" s="72"/>
    </row>
    <row r="59" spans="1:33" ht="20.100000000000001" hidden="1" customHeight="1">
      <c r="A59" s="72">
        <v>56</v>
      </c>
      <c r="B59" s="72">
        <v>110970</v>
      </c>
      <c r="C59" s="72" t="s">
        <v>122</v>
      </c>
      <c r="D59" s="72" t="s">
        <v>123</v>
      </c>
      <c r="E59" s="170" t="s">
        <v>110</v>
      </c>
      <c r="F59" s="167">
        <v>12000</v>
      </c>
      <c r="G59" s="100"/>
      <c r="H59" s="100">
        <f t="shared" si="0"/>
        <v>50</v>
      </c>
      <c r="I59" s="100">
        <f t="shared" si="1"/>
        <v>75</v>
      </c>
      <c r="J59" s="100">
        <f t="shared" si="2"/>
        <v>100</v>
      </c>
      <c r="K59" s="100">
        <f t="shared" si="3"/>
        <v>150</v>
      </c>
      <c r="L59" s="100">
        <v>1000</v>
      </c>
      <c r="M59" s="100"/>
      <c r="N59" s="100"/>
      <c r="O59" s="100"/>
      <c r="P59" s="100"/>
      <c r="Q59" s="100">
        <v>1000</v>
      </c>
      <c r="R59" s="100"/>
      <c r="S59" s="100">
        <v>1500</v>
      </c>
      <c r="T59" s="100"/>
      <c r="U59" s="100">
        <v>500</v>
      </c>
      <c r="V59" s="100"/>
      <c r="W59" s="100"/>
      <c r="X59" s="236"/>
      <c r="Y59" s="236"/>
      <c r="Z59" s="236"/>
      <c r="AA59" s="236"/>
      <c r="AB59" s="236"/>
      <c r="AC59" s="164" t="s">
        <v>553</v>
      </c>
      <c r="AD59" s="162">
        <f>ROUND(F59*0.05,0)</f>
        <v>600</v>
      </c>
      <c r="AE59" s="72"/>
      <c r="AF59" s="72">
        <f>ROUND(F59*0.0025,0)</f>
        <v>30</v>
      </c>
      <c r="AG59" s="72"/>
    </row>
    <row r="60" spans="1:33" ht="23.25" hidden="1">
      <c r="A60" s="72">
        <v>57</v>
      </c>
      <c r="B60" s="72">
        <v>311064</v>
      </c>
      <c r="C60" s="72" t="s">
        <v>124</v>
      </c>
      <c r="D60" s="72" t="s">
        <v>125</v>
      </c>
      <c r="E60" s="169" t="s">
        <v>126</v>
      </c>
      <c r="F60" s="162"/>
      <c r="G60" s="100">
        <v>400</v>
      </c>
      <c r="H60" s="100">
        <f>ROUND($G60/8*1,2)</f>
        <v>50</v>
      </c>
      <c r="I60" s="100">
        <f>ROUND($G60/8*1.5,2)</f>
        <v>75</v>
      </c>
      <c r="J60" s="100">
        <f>ROUND($G60/8*2,2)</f>
        <v>100</v>
      </c>
      <c r="K60" s="100">
        <f>ROUND($G60/8*3,2)</f>
        <v>150</v>
      </c>
      <c r="L60" s="231" t="s">
        <v>557</v>
      </c>
      <c r="M60" s="231" t="s">
        <v>557</v>
      </c>
      <c r="N60" s="231" t="s">
        <v>556</v>
      </c>
      <c r="O60" s="100"/>
      <c r="P60" s="100"/>
      <c r="Q60" s="100"/>
      <c r="R60" s="100"/>
      <c r="S60" s="100"/>
      <c r="T60" s="231" t="s">
        <v>558</v>
      </c>
      <c r="U60" s="100"/>
      <c r="V60" s="100"/>
      <c r="W60" s="100"/>
      <c r="X60" s="236"/>
      <c r="Y60" s="236"/>
      <c r="Z60" s="236"/>
      <c r="AA60" s="236"/>
      <c r="AB60" s="236"/>
      <c r="AC60" s="164" t="s">
        <v>559</v>
      </c>
      <c r="AD60" s="162">
        <f>ROUND(G60*0.05,0)</f>
        <v>20</v>
      </c>
      <c r="AE60" s="72"/>
      <c r="AF60" s="72">
        <f>ROUND(G60*0.0025,0)</f>
        <v>1</v>
      </c>
      <c r="AG60" s="72"/>
    </row>
    <row r="61" spans="1:33" ht="23.25" hidden="1">
      <c r="A61" s="72">
        <v>58</v>
      </c>
      <c r="B61" s="72">
        <v>210945</v>
      </c>
      <c r="C61" s="72" t="s">
        <v>127</v>
      </c>
      <c r="D61" s="72" t="s">
        <v>128</v>
      </c>
      <c r="E61" s="169" t="s">
        <v>126</v>
      </c>
      <c r="F61" s="162"/>
      <c r="G61" s="100">
        <v>400</v>
      </c>
      <c r="H61" s="100">
        <f t="shared" ref="H61:H90" si="8">ROUND($G61/8*1,2)</f>
        <v>50</v>
      </c>
      <c r="I61" s="100">
        <f t="shared" ref="I61:I90" si="9">ROUND($G61/8*1.5,2)</f>
        <v>75</v>
      </c>
      <c r="J61" s="100">
        <f t="shared" ref="J61:J90" si="10">ROUND($G61/8*2,2)</f>
        <v>100</v>
      </c>
      <c r="K61" s="100">
        <f t="shared" ref="K61:K90" si="11">ROUND($G61/8*3,2)</f>
        <v>150</v>
      </c>
      <c r="L61" s="231" t="s">
        <v>557</v>
      </c>
      <c r="M61" s="231" t="s">
        <v>557</v>
      </c>
      <c r="N61" s="231" t="s">
        <v>556</v>
      </c>
      <c r="O61" s="100"/>
      <c r="P61" s="100"/>
      <c r="Q61" s="100"/>
      <c r="R61" s="100"/>
      <c r="S61" s="100"/>
      <c r="T61" s="231" t="s">
        <v>558</v>
      </c>
      <c r="U61" s="100"/>
      <c r="V61" s="100"/>
      <c r="W61" s="100"/>
      <c r="X61" s="236"/>
      <c r="Y61" s="236"/>
      <c r="Z61" s="236"/>
      <c r="AA61" s="236"/>
      <c r="AB61" s="236"/>
      <c r="AC61" s="164" t="s">
        <v>559</v>
      </c>
      <c r="AD61" s="162">
        <f t="shared" ref="AD61:AD90" si="12">ROUND(G61*0.05,0)</f>
        <v>20</v>
      </c>
      <c r="AE61" s="72"/>
      <c r="AF61" s="72">
        <f t="shared" ref="AF61:AF91" si="13">ROUND(G61*0.0025,0)</f>
        <v>1</v>
      </c>
      <c r="AG61" s="72"/>
    </row>
    <row r="62" spans="1:33" ht="23.25" hidden="1">
      <c r="A62" s="72">
        <v>59</v>
      </c>
      <c r="B62" s="72">
        <v>210629</v>
      </c>
      <c r="C62" s="72" t="s">
        <v>129</v>
      </c>
      <c r="D62" s="72" t="s">
        <v>128</v>
      </c>
      <c r="E62" s="171" t="s">
        <v>126</v>
      </c>
      <c r="F62" s="162"/>
      <c r="G62" s="100">
        <v>400</v>
      </c>
      <c r="H62" s="100">
        <f t="shared" si="8"/>
        <v>50</v>
      </c>
      <c r="I62" s="100">
        <f t="shared" si="9"/>
        <v>75</v>
      </c>
      <c r="J62" s="100">
        <f t="shared" si="10"/>
        <v>100</v>
      </c>
      <c r="K62" s="100">
        <f t="shared" si="11"/>
        <v>150</v>
      </c>
      <c r="L62" s="231" t="s">
        <v>557</v>
      </c>
      <c r="M62" s="231" t="s">
        <v>557</v>
      </c>
      <c r="N62" s="231" t="s">
        <v>556</v>
      </c>
      <c r="O62" s="156"/>
      <c r="P62" s="156"/>
      <c r="Q62" s="156"/>
      <c r="R62" s="156"/>
      <c r="S62" s="156"/>
      <c r="T62" s="231" t="s">
        <v>558</v>
      </c>
      <c r="U62" s="156"/>
      <c r="V62" s="156"/>
      <c r="W62" s="156"/>
      <c r="X62" s="237"/>
      <c r="Y62" s="237"/>
      <c r="Z62" s="237"/>
      <c r="AA62" s="237"/>
      <c r="AB62" s="237"/>
      <c r="AC62" s="165" t="s">
        <v>559</v>
      </c>
      <c r="AD62" s="162">
        <f t="shared" si="12"/>
        <v>20</v>
      </c>
      <c r="AE62" s="72"/>
      <c r="AF62" s="72">
        <f t="shared" si="13"/>
        <v>1</v>
      </c>
      <c r="AG62" s="72"/>
    </row>
    <row r="63" spans="1:33" ht="23.25" hidden="1">
      <c r="A63" s="72">
        <v>60</v>
      </c>
      <c r="B63" s="72">
        <v>310954</v>
      </c>
      <c r="C63" s="72" t="s">
        <v>130</v>
      </c>
      <c r="D63" s="72" t="s">
        <v>131</v>
      </c>
      <c r="E63" s="171" t="s">
        <v>126</v>
      </c>
      <c r="F63" s="162"/>
      <c r="G63" s="100">
        <v>400</v>
      </c>
      <c r="H63" s="100">
        <f t="shared" si="8"/>
        <v>50</v>
      </c>
      <c r="I63" s="100">
        <f t="shared" si="9"/>
        <v>75</v>
      </c>
      <c r="J63" s="100">
        <f t="shared" si="10"/>
        <v>100</v>
      </c>
      <c r="K63" s="100">
        <f t="shared" si="11"/>
        <v>150</v>
      </c>
      <c r="L63" s="231" t="s">
        <v>557</v>
      </c>
      <c r="M63" s="231" t="s">
        <v>557</v>
      </c>
      <c r="N63" s="231" t="s">
        <v>556</v>
      </c>
      <c r="O63" s="156"/>
      <c r="P63" s="156"/>
      <c r="Q63" s="156"/>
      <c r="R63" s="156"/>
      <c r="S63" s="156"/>
      <c r="T63" s="231" t="s">
        <v>558</v>
      </c>
      <c r="U63" s="156"/>
      <c r="V63" s="156"/>
      <c r="W63" s="156"/>
      <c r="X63" s="237"/>
      <c r="Y63" s="237"/>
      <c r="Z63" s="237"/>
      <c r="AA63" s="237"/>
      <c r="AB63" s="237"/>
      <c r="AC63" s="165" t="s">
        <v>559</v>
      </c>
      <c r="AD63" s="162">
        <f t="shared" si="12"/>
        <v>20</v>
      </c>
      <c r="AE63" s="72"/>
      <c r="AF63" s="72">
        <f t="shared" si="13"/>
        <v>1</v>
      </c>
      <c r="AG63" s="72"/>
    </row>
    <row r="64" spans="1:33" ht="23.25" hidden="1">
      <c r="A64" s="72">
        <v>61</v>
      </c>
      <c r="B64" s="72">
        <v>310956</v>
      </c>
      <c r="C64" s="72" t="s">
        <v>132</v>
      </c>
      <c r="D64" s="72" t="s">
        <v>131</v>
      </c>
      <c r="E64" s="171" t="s">
        <v>126</v>
      </c>
      <c r="F64" s="162"/>
      <c r="G64" s="100">
        <v>400</v>
      </c>
      <c r="H64" s="100">
        <f t="shared" si="8"/>
        <v>50</v>
      </c>
      <c r="I64" s="100">
        <f t="shared" si="9"/>
        <v>75</v>
      </c>
      <c r="J64" s="100">
        <f t="shared" si="10"/>
        <v>100</v>
      </c>
      <c r="K64" s="100">
        <f t="shared" si="11"/>
        <v>150</v>
      </c>
      <c r="L64" s="231" t="s">
        <v>557</v>
      </c>
      <c r="M64" s="231" t="s">
        <v>557</v>
      </c>
      <c r="N64" s="231" t="s">
        <v>556</v>
      </c>
      <c r="O64" s="156"/>
      <c r="P64" s="156"/>
      <c r="Q64" s="156"/>
      <c r="R64" s="156"/>
      <c r="S64" s="156"/>
      <c r="T64" s="231" t="s">
        <v>558</v>
      </c>
      <c r="U64" s="156"/>
      <c r="V64" s="156"/>
      <c r="W64" s="156"/>
      <c r="X64" s="237"/>
      <c r="Y64" s="237"/>
      <c r="Z64" s="237"/>
      <c r="AA64" s="237"/>
      <c r="AB64" s="237"/>
      <c r="AC64" s="165" t="s">
        <v>559</v>
      </c>
      <c r="AD64" s="162">
        <f t="shared" si="12"/>
        <v>20</v>
      </c>
      <c r="AE64" s="72"/>
      <c r="AF64" s="72">
        <f t="shared" si="13"/>
        <v>1</v>
      </c>
      <c r="AG64" s="72"/>
    </row>
    <row r="65" spans="1:33" ht="23.25" hidden="1">
      <c r="A65" s="72">
        <v>62</v>
      </c>
      <c r="B65" s="72">
        <v>210991</v>
      </c>
      <c r="C65" s="72" t="s">
        <v>133</v>
      </c>
      <c r="D65" s="72" t="s">
        <v>131</v>
      </c>
      <c r="E65" s="171" t="s">
        <v>126</v>
      </c>
      <c r="F65" s="162"/>
      <c r="G65" s="100">
        <v>400</v>
      </c>
      <c r="H65" s="100">
        <f t="shared" si="8"/>
        <v>50</v>
      </c>
      <c r="I65" s="100">
        <f t="shared" si="9"/>
        <v>75</v>
      </c>
      <c r="J65" s="100">
        <f t="shared" si="10"/>
        <v>100</v>
      </c>
      <c r="K65" s="100">
        <f t="shared" si="11"/>
        <v>150</v>
      </c>
      <c r="L65" s="231" t="s">
        <v>557</v>
      </c>
      <c r="M65" s="231" t="s">
        <v>557</v>
      </c>
      <c r="N65" s="231" t="s">
        <v>556</v>
      </c>
      <c r="O65" s="156"/>
      <c r="P65" s="156"/>
      <c r="Q65" s="156"/>
      <c r="R65" s="156"/>
      <c r="S65" s="156"/>
      <c r="T65" s="231" t="s">
        <v>558</v>
      </c>
      <c r="U65" s="156"/>
      <c r="V65" s="156"/>
      <c r="W65" s="156"/>
      <c r="X65" s="237"/>
      <c r="Y65" s="237"/>
      <c r="Z65" s="237"/>
      <c r="AA65" s="237"/>
      <c r="AB65" s="237"/>
      <c r="AC65" s="165" t="s">
        <v>559</v>
      </c>
      <c r="AD65" s="162">
        <f t="shared" si="12"/>
        <v>20</v>
      </c>
      <c r="AE65" s="72"/>
      <c r="AF65" s="72">
        <f t="shared" si="13"/>
        <v>1</v>
      </c>
      <c r="AG65" s="72"/>
    </row>
    <row r="66" spans="1:33" ht="23.25" hidden="1">
      <c r="A66" s="72">
        <v>63</v>
      </c>
      <c r="B66" s="72">
        <v>311027</v>
      </c>
      <c r="C66" s="72" t="s">
        <v>134</v>
      </c>
      <c r="D66" s="72" t="s">
        <v>131</v>
      </c>
      <c r="E66" s="171" t="s">
        <v>126</v>
      </c>
      <c r="F66" s="162"/>
      <c r="G66" s="100">
        <v>400</v>
      </c>
      <c r="H66" s="100">
        <f t="shared" si="8"/>
        <v>50</v>
      </c>
      <c r="I66" s="100">
        <f t="shared" si="9"/>
        <v>75</v>
      </c>
      <c r="J66" s="100">
        <f t="shared" si="10"/>
        <v>100</v>
      </c>
      <c r="K66" s="100">
        <f t="shared" si="11"/>
        <v>150</v>
      </c>
      <c r="L66" s="231" t="s">
        <v>557</v>
      </c>
      <c r="M66" s="231" t="s">
        <v>557</v>
      </c>
      <c r="N66" s="231" t="s">
        <v>556</v>
      </c>
      <c r="O66" s="156"/>
      <c r="P66" s="156"/>
      <c r="Q66" s="156"/>
      <c r="R66" s="156"/>
      <c r="S66" s="156"/>
      <c r="T66" s="231" t="s">
        <v>558</v>
      </c>
      <c r="U66" s="156"/>
      <c r="V66" s="156"/>
      <c r="W66" s="156"/>
      <c r="X66" s="237"/>
      <c r="Y66" s="237"/>
      <c r="Z66" s="237"/>
      <c r="AA66" s="237"/>
      <c r="AB66" s="237"/>
      <c r="AC66" s="165" t="s">
        <v>559</v>
      </c>
      <c r="AD66" s="162">
        <f t="shared" si="12"/>
        <v>20</v>
      </c>
      <c r="AE66" s="72"/>
      <c r="AF66" s="72">
        <f t="shared" si="13"/>
        <v>1</v>
      </c>
      <c r="AG66" s="72"/>
    </row>
    <row r="67" spans="1:33" ht="23.25" hidden="1">
      <c r="A67" s="72">
        <v>64</v>
      </c>
      <c r="B67" s="72">
        <v>311029</v>
      </c>
      <c r="C67" s="72" t="s">
        <v>135</v>
      </c>
      <c r="D67" s="72" t="s">
        <v>136</v>
      </c>
      <c r="E67" s="171" t="s">
        <v>126</v>
      </c>
      <c r="F67" s="162"/>
      <c r="G67" s="100">
        <v>400</v>
      </c>
      <c r="H67" s="100">
        <f t="shared" si="8"/>
        <v>50</v>
      </c>
      <c r="I67" s="100">
        <f t="shared" si="9"/>
        <v>75</v>
      </c>
      <c r="J67" s="100">
        <f t="shared" si="10"/>
        <v>100</v>
      </c>
      <c r="K67" s="100">
        <f t="shared" si="11"/>
        <v>150</v>
      </c>
      <c r="L67" s="231" t="s">
        <v>557</v>
      </c>
      <c r="M67" s="231" t="s">
        <v>557</v>
      </c>
      <c r="N67" s="231" t="s">
        <v>556</v>
      </c>
      <c r="O67" s="156"/>
      <c r="P67" s="156"/>
      <c r="Q67" s="156"/>
      <c r="R67" s="156"/>
      <c r="S67" s="156"/>
      <c r="T67" s="231" t="s">
        <v>558</v>
      </c>
      <c r="U67" s="156"/>
      <c r="V67" s="156"/>
      <c r="W67" s="156"/>
      <c r="X67" s="237"/>
      <c r="Y67" s="237"/>
      <c r="Z67" s="237"/>
      <c r="AA67" s="237"/>
      <c r="AB67" s="237"/>
      <c r="AC67" s="165" t="s">
        <v>559</v>
      </c>
      <c r="AD67" s="162">
        <f t="shared" si="12"/>
        <v>20</v>
      </c>
      <c r="AE67" s="72"/>
      <c r="AF67" s="72">
        <f t="shared" si="13"/>
        <v>1</v>
      </c>
      <c r="AG67" s="72"/>
    </row>
    <row r="68" spans="1:33" ht="23.25" hidden="1">
      <c r="A68" s="72">
        <v>65</v>
      </c>
      <c r="B68" s="72">
        <v>210542</v>
      </c>
      <c r="C68" s="72" t="s">
        <v>137</v>
      </c>
      <c r="D68" s="72" t="s">
        <v>136</v>
      </c>
      <c r="E68" s="171" t="s">
        <v>126</v>
      </c>
      <c r="F68" s="162"/>
      <c r="G68" s="100">
        <v>400</v>
      </c>
      <c r="H68" s="100">
        <f t="shared" si="8"/>
        <v>50</v>
      </c>
      <c r="I68" s="100">
        <f t="shared" si="9"/>
        <v>75</v>
      </c>
      <c r="J68" s="100">
        <f t="shared" si="10"/>
        <v>100</v>
      </c>
      <c r="K68" s="100">
        <f t="shared" si="11"/>
        <v>150</v>
      </c>
      <c r="L68" s="231" t="s">
        <v>557</v>
      </c>
      <c r="M68" s="231" t="s">
        <v>557</v>
      </c>
      <c r="N68" s="231" t="s">
        <v>556</v>
      </c>
      <c r="O68" s="156"/>
      <c r="P68" s="156"/>
      <c r="Q68" s="156"/>
      <c r="R68" s="156"/>
      <c r="S68" s="156"/>
      <c r="T68" s="231" t="s">
        <v>558</v>
      </c>
      <c r="U68" s="156"/>
      <c r="V68" s="156"/>
      <c r="W68" s="156"/>
      <c r="X68" s="237"/>
      <c r="Y68" s="237"/>
      <c r="Z68" s="237"/>
      <c r="AA68" s="237"/>
      <c r="AB68" s="237"/>
      <c r="AC68" s="165" t="s">
        <v>559</v>
      </c>
      <c r="AD68" s="162">
        <f t="shared" si="12"/>
        <v>20</v>
      </c>
      <c r="AE68" s="72"/>
      <c r="AF68" s="72">
        <f t="shared" si="13"/>
        <v>1</v>
      </c>
      <c r="AG68" s="72"/>
    </row>
    <row r="69" spans="1:33" ht="23.25" hidden="1">
      <c r="A69" s="72">
        <v>66</v>
      </c>
      <c r="B69" s="72">
        <v>311028</v>
      </c>
      <c r="C69" s="72" t="s">
        <v>138</v>
      </c>
      <c r="D69" s="72" t="s">
        <v>136</v>
      </c>
      <c r="E69" s="171" t="s">
        <v>126</v>
      </c>
      <c r="F69" s="162"/>
      <c r="G69" s="100">
        <v>400</v>
      </c>
      <c r="H69" s="100">
        <f t="shared" si="8"/>
        <v>50</v>
      </c>
      <c r="I69" s="100">
        <f t="shared" si="9"/>
        <v>75</v>
      </c>
      <c r="J69" s="100">
        <f t="shared" si="10"/>
        <v>100</v>
      </c>
      <c r="K69" s="100">
        <f t="shared" si="11"/>
        <v>150</v>
      </c>
      <c r="L69" s="231" t="s">
        <v>557</v>
      </c>
      <c r="M69" s="231" t="s">
        <v>557</v>
      </c>
      <c r="N69" s="231" t="s">
        <v>556</v>
      </c>
      <c r="O69" s="156"/>
      <c r="P69" s="156"/>
      <c r="Q69" s="156"/>
      <c r="R69" s="156"/>
      <c r="S69" s="156"/>
      <c r="T69" s="231" t="s">
        <v>558</v>
      </c>
      <c r="U69" s="156"/>
      <c r="V69" s="156"/>
      <c r="W69" s="156"/>
      <c r="X69" s="237"/>
      <c r="Y69" s="237"/>
      <c r="Z69" s="237"/>
      <c r="AA69" s="237"/>
      <c r="AB69" s="237"/>
      <c r="AC69" s="165" t="s">
        <v>559</v>
      </c>
      <c r="AD69" s="162">
        <f t="shared" si="12"/>
        <v>20</v>
      </c>
      <c r="AE69" s="72"/>
      <c r="AF69" s="72">
        <f t="shared" si="13"/>
        <v>1</v>
      </c>
      <c r="AG69" s="72"/>
    </row>
    <row r="70" spans="1:33" ht="23.25" hidden="1">
      <c r="A70" s="72">
        <v>67</v>
      </c>
      <c r="B70" s="72">
        <v>310973</v>
      </c>
      <c r="C70" s="72" t="s">
        <v>139</v>
      </c>
      <c r="D70" s="72" t="s">
        <v>136</v>
      </c>
      <c r="E70" s="171" t="s">
        <v>126</v>
      </c>
      <c r="F70" s="162"/>
      <c r="G70" s="100">
        <v>400</v>
      </c>
      <c r="H70" s="100">
        <f t="shared" si="8"/>
        <v>50</v>
      </c>
      <c r="I70" s="100">
        <f t="shared" si="9"/>
        <v>75</v>
      </c>
      <c r="J70" s="100">
        <f t="shared" si="10"/>
        <v>100</v>
      </c>
      <c r="K70" s="100">
        <f t="shared" si="11"/>
        <v>150</v>
      </c>
      <c r="L70" s="231" t="s">
        <v>557</v>
      </c>
      <c r="M70" s="231" t="s">
        <v>557</v>
      </c>
      <c r="N70" s="231" t="s">
        <v>556</v>
      </c>
      <c r="O70" s="156"/>
      <c r="P70" s="156"/>
      <c r="Q70" s="156"/>
      <c r="R70" s="156"/>
      <c r="S70" s="156"/>
      <c r="T70" s="231" t="s">
        <v>558</v>
      </c>
      <c r="U70" s="156"/>
      <c r="V70" s="156"/>
      <c r="W70" s="156"/>
      <c r="X70" s="237"/>
      <c r="Y70" s="237"/>
      <c r="Z70" s="237"/>
      <c r="AA70" s="237"/>
      <c r="AB70" s="237"/>
      <c r="AC70" s="165" t="s">
        <v>559</v>
      </c>
      <c r="AD70" s="162">
        <f t="shared" si="12"/>
        <v>20</v>
      </c>
      <c r="AE70" s="72"/>
      <c r="AF70" s="72">
        <f t="shared" si="13"/>
        <v>1</v>
      </c>
      <c r="AG70" s="72"/>
    </row>
    <row r="71" spans="1:33" ht="23.25" hidden="1">
      <c r="A71" s="72">
        <v>68</v>
      </c>
      <c r="B71" s="72">
        <v>210041</v>
      </c>
      <c r="C71" s="72" t="s">
        <v>140</v>
      </c>
      <c r="D71" s="72" t="s">
        <v>141</v>
      </c>
      <c r="E71" s="171" t="s">
        <v>126</v>
      </c>
      <c r="F71" s="162"/>
      <c r="G71" s="100">
        <v>400</v>
      </c>
      <c r="H71" s="100">
        <f t="shared" si="8"/>
        <v>50</v>
      </c>
      <c r="I71" s="100">
        <f t="shared" si="9"/>
        <v>75</v>
      </c>
      <c r="J71" s="100">
        <f t="shared" si="10"/>
        <v>100</v>
      </c>
      <c r="K71" s="100">
        <f t="shared" si="11"/>
        <v>150</v>
      </c>
      <c r="L71" s="231" t="s">
        <v>558</v>
      </c>
      <c r="M71" s="231" t="s">
        <v>557</v>
      </c>
      <c r="N71" s="156"/>
      <c r="O71" s="156"/>
      <c r="P71" s="156"/>
      <c r="Q71" s="156"/>
      <c r="R71" s="156"/>
      <c r="S71" s="156"/>
      <c r="T71" s="231" t="s">
        <v>558</v>
      </c>
      <c r="U71" s="156"/>
      <c r="V71" s="156"/>
      <c r="W71" s="156"/>
      <c r="X71" s="237"/>
      <c r="Y71" s="237"/>
      <c r="Z71" s="237"/>
      <c r="AA71" s="237"/>
      <c r="AB71" s="237"/>
      <c r="AC71" s="165" t="s">
        <v>553</v>
      </c>
      <c r="AD71" s="162">
        <f t="shared" si="12"/>
        <v>20</v>
      </c>
      <c r="AE71" s="72"/>
      <c r="AF71" s="72">
        <f t="shared" si="13"/>
        <v>1</v>
      </c>
      <c r="AG71" s="72"/>
    </row>
    <row r="72" spans="1:33" ht="23.25" hidden="1">
      <c r="A72" s="72">
        <v>69</v>
      </c>
      <c r="B72" s="72">
        <v>210752</v>
      </c>
      <c r="C72" s="72" t="s">
        <v>406</v>
      </c>
      <c r="D72" s="72" t="s">
        <v>141</v>
      </c>
      <c r="E72" s="171" t="s">
        <v>126</v>
      </c>
      <c r="F72" s="162"/>
      <c r="G72" s="100">
        <v>400</v>
      </c>
      <c r="H72" s="100">
        <f t="shared" si="8"/>
        <v>50</v>
      </c>
      <c r="I72" s="100">
        <f t="shared" si="9"/>
        <v>75</v>
      </c>
      <c r="J72" s="100">
        <f t="shared" si="10"/>
        <v>100</v>
      </c>
      <c r="K72" s="100">
        <f t="shared" si="11"/>
        <v>150</v>
      </c>
      <c r="L72" s="231" t="s">
        <v>558</v>
      </c>
      <c r="M72" s="231" t="s">
        <v>557</v>
      </c>
      <c r="N72" s="156"/>
      <c r="O72" s="156"/>
      <c r="P72" s="156"/>
      <c r="Q72" s="156"/>
      <c r="R72" s="156"/>
      <c r="S72" s="156"/>
      <c r="T72" s="231" t="s">
        <v>558</v>
      </c>
      <c r="U72" s="156"/>
      <c r="V72" s="156"/>
      <c r="W72" s="156"/>
      <c r="X72" s="237"/>
      <c r="Y72" s="237"/>
      <c r="Z72" s="237"/>
      <c r="AA72" s="237"/>
      <c r="AB72" s="237"/>
      <c r="AC72" s="165" t="s">
        <v>553</v>
      </c>
      <c r="AD72" s="162">
        <f t="shared" si="12"/>
        <v>20</v>
      </c>
      <c r="AE72" s="72"/>
      <c r="AF72" s="72">
        <f t="shared" si="13"/>
        <v>1</v>
      </c>
      <c r="AG72" s="72"/>
    </row>
    <row r="73" spans="1:33" ht="23.25" hidden="1">
      <c r="A73" s="72">
        <v>70</v>
      </c>
      <c r="B73" s="72">
        <v>210165</v>
      </c>
      <c r="C73" s="72" t="s">
        <v>142</v>
      </c>
      <c r="D73" s="72" t="s">
        <v>141</v>
      </c>
      <c r="E73" s="171" t="s">
        <v>126</v>
      </c>
      <c r="F73" s="162"/>
      <c r="G73" s="100">
        <v>400</v>
      </c>
      <c r="H73" s="100">
        <f t="shared" si="8"/>
        <v>50</v>
      </c>
      <c r="I73" s="100">
        <f t="shared" si="9"/>
        <v>75</v>
      </c>
      <c r="J73" s="100">
        <f t="shared" si="10"/>
        <v>100</v>
      </c>
      <c r="K73" s="100">
        <f t="shared" si="11"/>
        <v>150</v>
      </c>
      <c r="L73" s="231" t="s">
        <v>558</v>
      </c>
      <c r="M73" s="231" t="s">
        <v>557</v>
      </c>
      <c r="N73" s="156"/>
      <c r="O73" s="156"/>
      <c r="P73" s="156"/>
      <c r="Q73" s="156"/>
      <c r="R73" s="156"/>
      <c r="S73" s="156"/>
      <c r="T73" s="231" t="s">
        <v>558</v>
      </c>
      <c r="U73" s="156"/>
      <c r="V73" s="156"/>
      <c r="W73" s="156"/>
      <c r="X73" s="237"/>
      <c r="Y73" s="237"/>
      <c r="Z73" s="237"/>
      <c r="AA73" s="237"/>
      <c r="AB73" s="237"/>
      <c r="AC73" s="165" t="s">
        <v>553</v>
      </c>
      <c r="AD73" s="162">
        <f t="shared" si="12"/>
        <v>20</v>
      </c>
      <c r="AE73" s="72"/>
      <c r="AF73" s="72">
        <f t="shared" si="13"/>
        <v>1</v>
      </c>
      <c r="AG73" s="72"/>
    </row>
    <row r="74" spans="1:33" ht="23.25" hidden="1">
      <c r="A74" s="72">
        <v>71</v>
      </c>
      <c r="B74" s="72">
        <v>310953</v>
      </c>
      <c r="C74" s="72" t="s">
        <v>143</v>
      </c>
      <c r="D74" s="72" t="s">
        <v>141</v>
      </c>
      <c r="E74" s="169" t="s">
        <v>126</v>
      </c>
      <c r="F74" s="162"/>
      <c r="G74" s="100">
        <v>400</v>
      </c>
      <c r="H74" s="100">
        <f t="shared" si="8"/>
        <v>50</v>
      </c>
      <c r="I74" s="100">
        <f t="shared" si="9"/>
        <v>75</v>
      </c>
      <c r="J74" s="100">
        <f t="shared" si="10"/>
        <v>100</v>
      </c>
      <c r="K74" s="100">
        <f t="shared" si="11"/>
        <v>150</v>
      </c>
      <c r="L74" s="231" t="s">
        <v>558</v>
      </c>
      <c r="M74" s="231" t="s">
        <v>557</v>
      </c>
      <c r="N74" s="156"/>
      <c r="O74" s="156"/>
      <c r="P74" s="156"/>
      <c r="Q74" s="156"/>
      <c r="R74" s="156"/>
      <c r="S74" s="156"/>
      <c r="T74" s="231" t="s">
        <v>558</v>
      </c>
      <c r="U74" s="156"/>
      <c r="V74" s="156"/>
      <c r="W74" s="156"/>
      <c r="X74" s="237"/>
      <c r="Y74" s="237"/>
      <c r="Z74" s="237"/>
      <c r="AA74" s="237"/>
      <c r="AB74" s="237"/>
      <c r="AC74" s="165" t="s">
        <v>553</v>
      </c>
      <c r="AD74" s="162">
        <f t="shared" si="12"/>
        <v>20</v>
      </c>
      <c r="AE74" s="72"/>
      <c r="AF74" s="72">
        <f t="shared" si="13"/>
        <v>1</v>
      </c>
      <c r="AG74" s="72"/>
    </row>
    <row r="75" spans="1:33" ht="23.25" hidden="1">
      <c r="A75" s="72">
        <v>72</v>
      </c>
      <c r="B75" s="72">
        <v>310955</v>
      </c>
      <c r="C75" s="72" t="s">
        <v>144</v>
      </c>
      <c r="D75" s="72" t="s">
        <v>145</v>
      </c>
      <c r="E75" s="171" t="s">
        <v>126</v>
      </c>
      <c r="F75" s="162"/>
      <c r="G75" s="100">
        <v>400</v>
      </c>
      <c r="H75" s="100">
        <f t="shared" si="8"/>
        <v>50</v>
      </c>
      <c r="I75" s="100">
        <f t="shared" si="9"/>
        <v>75</v>
      </c>
      <c r="J75" s="100">
        <f t="shared" si="10"/>
        <v>100</v>
      </c>
      <c r="K75" s="100">
        <f t="shared" si="11"/>
        <v>150</v>
      </c>
      <c r="L75" s="231" t="s">
        <v>558</v>
      </c>
      <c r="M75" s="231" t="s">
        <v>557</v>
      </c>
      <c r="N75" s="156"/>
      <c r="O75" s="156"/>
      <c r="P75" s="156"/>
      <c r="Q75" s="156"/>
      <c r="R75" s="156"/>
      <c r="S75" s="156"/>
      <c r="T75" s="231" t="s">
        <v>558</v>
      </c>
      <c r="U75" s="156"/>
      <c r="V75" s="156"/>
      <c r="W75" s="156"/>
      <c r="X75" s="237"/>
      <c r="Y75" s="237"/>
      <c r="Z75" s="237"/>
      <c r="AA75" s="237"/>
      <c r="AB75" s="237"/>
      <c r="AC75" s="165" t="s">
        <v>553</v>
      </c>
      <c r="AD75" s="162">
        <f t="shared" si="12"/>
        <v>20</v>
      </c>
      <c r="AE75" s="72"/>
      <c r="AF75" s="72">
        <f t="shared" si="13"/>
        <v>1</v>
      </c>
      <c r="AG75" s="72"/>
    </row>
    <row r="76" spans="1:33" ht="23.25" hidden="1">
      <c r="A76" s="72">
        <v>73</v>
      </c>
      <c r="B76" s="72">
        <v>120765</v>
      </c>
      <c r="C76" s="72" t="s">
        <v>146</v>
      </c>
      <c r="D76" s="72" t="s">
        <v>27</v>
      </c>
      <c r="E76" s="171" t="s">
        <v>126</v>
      </c>
      <c r="F76" s="162"/>
      <c r="G76" s="100">
        <v>400</v>
      </c>
      <c r="H76" s="100">
        <f t="shared" si="8"/>
        <v>50</v>
      </c>
      <c r="I76" s="100">
        <f t="shared" si="9"/>
        <v>75</v>
      </c>
      <c r="J76" s="100">
        <f t="shared" si="10"/>
        <v>100</v>
      </c>
      <c r="K76" s="100">
        <f t="shared" si="11"/>
        <v>150</v>
      </c>
      <c r="L76" s="231" t="s">
        <v>558</v>
      </c>
      <c r="M76" s="231" t="s">
        <v>557</v>
      </c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237"/>
      <c r="Y76" s="237"/>
      <c r="Z76" s="237"/>
      <c r="AA76" s="237"/>
      <c r="AB76" s="237"/>
      <c r="AC76" s="165" t="s">
        <v>553</v>
      </c>
      <c r="AD76" s="162">
        <f t="shared" si="12"/>
        <v>20</v>
      </c>
      <c r="AE76" s="72"/>
      <c r="AF76" s="72">
        <f t="shared" si="13"/>
        <v>1</v>
      </c>
      <c r="AG76" s="72"/>
    </row>
    <row r="77" spans="1:33" ht="23.25" hidden="1">
      <c r="A77" s="72">
        <v>74</v>
      </c>
      <c r="B77" s="72">
        <v>220937</v>
      </c>
      <c r="C77" s="72" t="s">
        <v>397</v>
      </c>
      <c r="D77" s="72" t="s">
        <v>27</v>
      </c>
      <c r="E77" s="171" t="s">
        <v>126</v>
      </c>
      <c r="F77" s="162"/>
      <c r="G77" s="100">
        <v>400</v>
      </c>
      <c r="H77" s="100">
        <f t="shared" si="8"/>
        <v>50</v>
      </c>
      <c r="I77" s="100">
        <f t="shared" si="9"/>
        <v>75</v>
      </c>
      <c r="J77" s="100">
        <f t="shared" si="10"/>
        <v>100</v>
      </c>
      <c r="K77" s="100">
        <f t="shared" si="11"/>
        <v>150</v>
      </c>
      <c r="L77" s="231" t="s">
        <v>558</v>
      </c>
      <c r="M77" s="231" t="s">
        <v>557</v>
      </c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237"/>
      <c r="Y77" s="237"/>
      <c r="Z77" s="237"/>
      <c r="AA77" s="237"/>
      <c r="AB77" s="237"/>
      <c r="AC77" s="165" t="s">
        <v>553</v>
      </c>
      <c r="AD77" s="162">
        <f t="shared" si="12"/>
        <v>20</v>
      </c>
      <c r="AE77" s="72"/>
      <c r="AF77" s="72">
        <f t="shared" si="13"/>
        <v>1</v>
      </c>
      <c r="AG77" s="72"/>
    </row>
    <row r="78" spans="1:33" ht="23.25" hidden="1">
      <c r="A78" s="72">
        <v>75</v>
      </c>
      <c r="B78" s="72">
        <v>120171</v>
      </c>
      <c r="C78" s="72" t="s">
        <v>147</v>
      </c>
      <c r="D78" s="72" t="s">
        <v>27</v>
      </c>
      <c r="E78" s="171" t="s">
        <v>126</v>
      </c>
      <c r="F78" s="162"/>
      <c r="G78" s="100">
        <v>400</v>
      </c>
      <c r="H78" s="100">
        <f t="shared" si="8"/>
        <v>50</v>
      </c>
      <c r="I78" s="100">
        <f t="shared" si="9"/>
        <v>75</v>
      </c>
      <c r="J78" s="100">
        <f t="shared" si="10"/>
        <v>100</v>
      </c>
      <c r="K78" s="100">
        <f t="shared" si="11"/>
        <v>150</v>
      </c>
      <c r="L78" s="231" t="s">
        <v>558</v>
      </c>
      <c r="M78" s="231" t="s">
        <v>557</v>
      </c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237"/>
      <c r="Y78" s="237"/>
      <c r="Z78" s="237"/>
      <c r="AA78" s="237"/>
      <c r="AB78" s="237"/>
      <c r="AC78" s="165" t="s">
        <v>553</v>
      </c>
      <c r="AD78" s="162">
        <f t="shared" si="12"/>
        <v>20</v>
      </c>
      <c r="AE78" s="72"/>
      <c r="AF78" s="72">
        <f t="shared" si="13"/>
        <v>1</v>
      </c>
      <c r="AG78" s="72"/>
    </row>
    <row r="79" spans="1:33" ht="23.25" hidden="1">
      <c r="A79" s="72">
        <v>76</v>
      </c>
      <c r="B79" s="72">
        <v>120628</v>
      </c>
      <c r="C79" s="72" t="s">
        <v>148</v>
      </c>
      <c r="D79" s="72" t="s">
        <v>27</v>
      </c>
      <c r="E79" s="171" t="s">
        <v>126</v>
      </c>
      <c r="F79" s="162"/>
      <c r="G79" s="100">
        <v>400</v>
      </c>
      <c r="H79" s="100">
        <f t="shared" si="8"/>
        <v>50</v>
      </c>
      <c r="I79" s="100">
        <f t="shared" si="9"/>
        <v>75</v>
      </c>
      <c r="J79" s="100">
        <f t="shared" si="10"/>
        <v>100</v>
      </c>
      <c r="K79" s="100">
        <f t="shared" si="11"/>
        <v>150</v>
      </c>
      <c r="L79" s="231" t="s">
        <v>558</v>
      </c>
      <c r="M79" s="231" t="s">
        <v>557</v>
      </c>
      <c r="N79" s="156"/>
      <c r="O79" s="156"/>
      <c r="P79" s="156"/>
      <c r="Q79" s="156"/>
      <c r="R79" s="156"/>
      <c r="S79" s="156"/>
      <c r="T79" s="231" t="s">
        <v>558</v>
      </c>
      <c r="U79" s="156"/>
      <c r="V79" s="156"/>
      <c r="W79" s="156"/>
      <c r="X79" s="237"/>
      <c r="Y79" s="237"/>
      <c r="Z79" s="237"/>
      <c r="AA79" s="237"/>
      <c r="AB79" s="237"/>
      <c r="AC79" s="165" t="s">
        <v>553</v>
      </c>
      <c r="AD79" s="162">
        <f t="shared" si="12"/>
        <v>20</v>
      </c>
      <c r="AE79" s="72"/>
      <c r="AF79" s="72">
        <f t="shared" si="13"/>
        <v>1</v>
      </c>
      <c r="AG79" s="72"/>
    </row>
    <row r="80" spans="1:33" ht="23.25" hidden="1">
      <c r="A80" s="72">
        <v>77</v>
      </c>
      <c r="B80" s="72">
        <v>220340</v>
      </c>
      <c r="C80" s="72" t="s">
        <v>149</v>
      </c>
      <c r="D80" s="72" t="s">
        <v>27</v>
      </c>
      <c r="E80" s="171" t="s">
        <v>126</v>
      </c>
      <c r="F80" s="162"/>
      <c r="G80" s="100">
        <v>400</v>
      </c>
      <c r="H80" s="100">
        <f t="shared" si="8"/>
        <v>50</v>
      </c>
      <c r="I80" s="100">
        <f t="shared" si="9"/>
        <v>75</v>
      </c>
      <c r="J80" s="100">
        <f t="shared" si="10"/>
        <v>100</v>
      </c>
      <c r="K80" s="100">
        <f t="shared" si="11"/>
        <v>150</v>
      </c>
      <c r="L80" s="231" t="s">
        <v>558</v>
      </c>
      <c r="M80" s="231" t="s">
        <v>557</v>
      </c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237"/>
      <c r="Y80" s="237"/>
      <c r="Z80" s="237"/>
      <c r="AA80" s="237"/>
      <c r="AB80" s="237"/>
      <c r="AC80" s="165" t="s">
        <v>553</v>
      </c>
      <c r="AD80" s="162">
        <f t="shared" si="12"/>
        <v>20</v>
      </c>
      <c r="AE80" s="72"/>
      <c r="AF80" s="72">
        <f t="shared" si="13"/>
        <v>1</v>
      </c>
      <c r="AG80" s="72"/>
    </row>
    <row r="81" spans="1:33" ht="23.25" hidden="1">
      <c r="A81" s="72">
        <v>78</v>
      </c>
      <c r="B81" s="72">
        <v>320952</v>
      </c>
      <c r="C81" s="72" t="s">
        <v>150</v>
      </c>
      <c r="D81" s="72" t="s">
        <v>27</v>
      </c>
      <c r="E81" s="169" t="s">
        <v>126</v>
      </c>
      <c r="F81" s="162"/>
      <c r="G81" s="100">
        <v>400</v>
      </c>
      <c r="H81" s="100">
        <f t="shared" si="8"/>
        <v>50</v>
      </c>
      <c r="I81" s="100">
        <f t="shared" si="9"/>
        <v>75</v>
      </c>
      <c r="J81" s="100">
        <f t="shared" si="10"/>
        <v>100</v>
      </c>
      <c r="K81" s="100">
        <f t="shared" si="11"/>
        <v>150</v>
      </c>
      <c r="L81" s="231" t="s">
        <v>558</v>
      </c>
      <c r="M81" s="231" t="s">
        <v>557</v>
      </c>
      <c r="N81" s="156"/>
      <c r="O81" s="156"/>
      <c r="P81" s="156"/>
      <c r="Q81" s="156"/>
      <c r="R81" s="156"/>
      <c r="S81" s="156"/>
      <c r="T81" s="231" t="s">
        <v>558</v>
      </c>
      <c r="U81" s="156"/>
      <c r="V81" s="156"/>
      <c r="W81" s="156"/>
      <c r="X81" s="237"/>
      <c r="Y81" s="237"/>
      <c r="Z81" s="237"/>
      <c r="AA81" s="237"/>
      <c r="AB81" s="237"/>
      <c r="AC81" s="165" t="s">
        <v>553</v>
      </c>
      <c r="AD81" s="162">
        <f t="shared" si="12"/>
        <v>20</v>
      </c>
      <c r="AE81" s="72"/>
      <c r="AF81" s="72">
        <f t="shared" si="13"/>
        <v>1</v>
      </c>
      <c r="AG81" s="72"/>
    </row>
    <row r="82" spans="1:33" ht="23.25" hidden="1">
      <c r="A82" s="72">
        <v>79</v>
      </c>
      <c r="B82" s="72">
        <v>221020</v>
      </c>
      <c r="C82" s="72" t="s">
        <v>152</v>
      </c>
      <c r="D82" s="72" t="s">
        <v>27</v>
      </c>
      <c r="E82" s="171" t="s">
        <v>126</v>
      </c>
      <c r="F82" s="162"/>
      <c r="G82" s="100">
        <v>400</v>
      </c>
      <c r="H82" s="100">
        <f t="shared" si="8"/>
        <v>50</v>
      </c>
      <c r="I82" s="100">
        <f t="shared" si="9"/>
        <v>75</v>
      </c>
      <c r="J82" s="100">
        <f t="shared" si="10"/>
        <v>100</v>
      </c>
      <c r="K82" s="100">
        <f t="shared" si="11"/>
        <v>150</v>
      </c>
      <c r="L82" s="231" t="s">
        <v>558</v>
      </c>
      <c r="M82" s="231" t="s">
        <v>557</v>
      </c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237"/>
      <c r="Y82" s="237"/>
      <c r="Z82" s="237"/>
      <c r="AA82" s="237"/>
      <c r="AB82" s="237"/>
      <c r="AC82" s="165" t="s">
        <v>553</v>
      </c>
      <c r="AD82" s="162">
        <f t="shared" si="12"/>
        <v>20</v>
      </c>
      <c r="AE82" s="72"/>
      <c r="AF82" s="72">
        <f t="shared" si="13"/>
        <v>1</v>
      </c>
      <c r="AG82" s="72"/>
    </row>
    <row r="83" spans="1:33" ht="23.25" hidden="1">
      <c r="A83" s="72">
        <v>80</v>
      </c>
      <c r="B83" s="72">
        <v>221303</v>
      </c>
      <c r="C83" s="72" t="s">
        <v>405</v>
      </c>
      <c r="D83" s="72" t="s">
        <v>27</v>
      </c>
      <c r="E83" s="171" t="s">
        <v>126</v>
      </c>
      <c r="F83" s="162"/>
      <c r="G83" s="100">
        <v>400</v>
      </c>
      <c r="H83" s="100">
        <f t="shared" si="8"/>
        <v>50</v>
      </c>
      <c r="I83" s="100">
        <f t="shared" si="9"/>
        <v>75</v>
      </c>
      <c r="J83" s="100">
        <f t="shared" si="10"/>
        <v>100</v>
      </c>
      <c r="K83" s="100">
        <f t="shared" si="11"/>
        <v>150</v>
      </c>
      <c r="L83" s="231" t="s">
        <v>558</v>
      </c>
      <c r="M83" s="231" t="s">
        <v>557</v>
      </c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237"/>
      <c r="Y83" s="237"/>
      <c r="Z83" s="237"/>
      <c r="AA83" s="237"/>
      <c r="AB83" s="237"/>
      <c r="AC83" s="165" t="s">
        <v>553</v>
      </c>
      <c r="AD83" s="162">
        <f t="shared" si="12"/>
        <v>20</v>
      </c>
      <c r="AE83" s="72"/>
      <c r="AF83" s="72">
        <f t="shared" si="13"/>
        <v>1</v>
      </c>
      <c r="AG83" s="72"/>
    </row>
    <row r="84" spans="1:33" ht="23.25" hidden="1">
      <c r="A84" s="72">
        <v>81</v>
      </c>
      <c r="B84" s="72">
        <v>121305</v>
      </c>
      <c r="C84" s="72" t="s">
        <v>153</v>
      </c>
      <c r="D84" s="72" t="s">
        <v>27</v>
      </c>
      <c r="E84" s="171" t="s">
        <v>126</v>
      </c>
      <c r="F84" s="162"/>
      <c r="G84" s="100">
        <v>400</v>
      </c>
      <c r="H84" s="100">
        <f t="shared" si="8"/>
        <v>50</v>
      </c>
      <c r="I84" s="100">
        <f t="shared" si="9"/>
        <v>75</v>
      </c>
      <c r="J84" s="100">
        <f t="shared" si="10"/>
        <v>100</v>
      </c>
      <c r="K84" s="100">
        <f t="shared" si="11"/>
        <v>150</v>
      </c>
      <c r="L84" s="231" t="s">
        <v>558</v>
      </c>
      <c r="M84" s="231" t="s">
        <v>557</v>
      </c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237"/>
      <c r="Y84" s="237"/>
      <c r="Z84" s="237"/>
      <c r="AA84" s="237"/>
      <c r="AB84" s="237"/>
      <c r="AC84" s="165" t="s">
        <v>553</v>
      </c>
      <c r="AD84" s="162">
        <f t="shared" si="12"/>
        <v>20</v>
      </c>
      <c r="AE84" s="72"/>
      <c r="AF84" s="72">
        <f t="shared" si="13"/>
        <v>1</v>
      </c>
      <c r="AG84" s="72"/>
    </row>
    <row r="85" spans="1:33" ht="23.25" hidden="1">
      <c r="A85" s="72">
        <v>82</v>
      </c>
      <c r="B85" s="72">
        <v>220810</v>
      </c>
      <c r="C85" s="72" t="s">
        <v>154</v>
      </c>
      <c r="D85" s="72" t="s">
        <v>27</v>
      </c>
      <c r="E85" s="171" t="s">
        <v>126</v>
      </c>
      <c r="F85" s="162"/>
      <c r="G85" s="100">
        <v>400</v>
      </c>
      <c r="H85" s="100">
        <f t="shared" si="8"/>
        <v>50</v>
      </c>
      <c r="I85" s="100">
        <f t="shared" si="9"/>
        <v>75</v>
      </c>
      <c r="J85" s="100">
        <f t="shared" si="10"/>
        <v>100</v>
      </c>
      <c r="K85" s="100">
        <f t="shared" si="11"/>
        <v>150</v>
      </c>
      <c r="L85" s="231" t="s">
        <v>558</v>
      </c>
      <c r="M85" s="231" t="s">
        <v>557</v>
      </c>
      <c r="N85" s="156"/>
      <c r="O85" s="156"/>
      <c r="P85" s="156"/>
      <c r="Q85" s="156"/>
      <c r="R85" s="156"/>
      <c r="S85" s="156"/>
      <c r="T85" s="231" t="s">
        <v>558</v>
      </c>
      <c r="U85" s="156"/>
      <c r="V85" s="156"/>
      <c r="W85" s="156"/>
      <c r="X85" s="237"/>
      <c r="Y85" s="237"/>
      <c r="Z85" s="237"/>
      <c r="AA85" s="237"/>
      <c r="AB85" s="237"/>
      <c r="AC85" s="165" t="s">
        <v>553</v>
      </c>
      <c r="AD85" s="162">
        <f t="shared" si="12"/>
        <v>20</v>
      </c>
      <c r="AE85" s="72"/>
      <c r="AF85" s="72">
        <f t="shared" si="13"/>
        <v>1</v>
      </c>
      <c r="AG85" s="72"/>
    </row>
    <row r="86" spans="1:33" ht="23.25" hidden="1">
      <c r="A86" s="72">
        <v>83</v>
      </c>
      <c r="B86" s="72">
        <v>220040</v>
      </c>
      <c r="C86" s="72" t="s">
        <v>155</v>
      </c>
      <c r="D86" s="72" t="s">
        <v>27</v>
      </c>
      <c r="E86" s="171" t="s">
        <v>126</v>
      </c>
      <c r="F86" s="162"/>
      <c r="G86" s="100">
        <v>400</v>
      </c>
      <c r="H86" s="100">
        <f t="shared" si="8"/>
        <v>50</v>
      </c>
      <c r="I86" s="100">
        <f t="shared" si="9"/>
        <v>75</v>
      </c>
      <c r="J86" s="100">
        <f t="shared" si="10"/>
        <v>100</v>
      </c>
      <c r="K86" s="100">
        <f t="shared" si="11"/>
        <v>150</v>
      </c>
      <c r="L86" s="231" t="s">
        <v>558</v>
      </c>
      <c r="M86" s="231" t="s">
        <v>557</v>
      </c>
      <c r="N86" s="156"/>
      <c r="O86" s="156"/>
      <c r="P86" s="156"/>
      <c r="Q86" s="156"/>
      <c r="R86" s="156"/>
      <c r="S86" s="156"/>
      <c r="T86" s="231" t="s">
        <v>558</v>
      </c>
      <c r="U86" s="156"/>
      <c r="V86" s="156"/>
      <c r="W86" s="156"/>
      <c r="X86" s="237"/>
      <c r="Y86" s="237"/>
      <c r="Z86" s="237"/>
      <c r="AA86" s="237"/>
      <c r="AB86" s="237"/>
      <c r="AC86" s="165" t="s">
        <v>553</v>
      </c>
      <c r="AD86" s="162">
        <f t="shared" si="12"/>
        <v>20</v>
      </c>
      <c r="AE86" s="72"/>
      <c r="AF86" s="72">
        <f t="shared" si="13"/>
        <v>1</v>
      </c>
      <c r="AG86" s="72"/>
    </row>
    <row r="87" spans="1:33" ht="23.25" hidden="1">
      <c r="A87" s="72">
        <v>84</v>
      </c>
      <c r="B87" s="72">
        <v>220169</v>
      </c>
      <c r="C87" s="72" t="s">
        <v>156</v>
      </c>
      <c r="D87" s="72" t="s">
        <v>27</v>
      </c>
      <c r="E87" s="171" t="s">
        <v>126</v>
      </c>
      <c r="F87" s="162"/>
      <c r="G87" s="100">
        <v>400</v>
      </c>
      <c r="H87" s="100">
        <f t="shared" si="8"/>
        <v>50</v>
      </c>
      <c r="I87" s="100">
        <f t="shared" si="9"/>
        <v>75</v>
      </c>
      <c r="J87" s="100">
        <f t="shared" si="10"/>
        <v>100</v>
      </c>
      <c r="K87" s="100">
        <f t="shared" si="11"/>
        <v>150</v>
      </c>
      <c r="L87" s="231" t="s">
        <v>558</v>
      </c>
      <c r="M87" s="231" t="s">
        <v>557</v>
      </c>
      <c r="N87" s="156"/>
      <c r="O87" s="156"/>
      <c r="P87" s="156"/>
      <c r="Q87" s="156"/>
      <c r="R87" s="156"/>
      <c r="S87" s="156"/>
      <c r="T87" s="231" t="s">
        <v>558</v>
      </c>
      <c r="U87" s="156"/>
      <c r="V87" s="156"/>
      <c r="W87" s="156"/>
      <c r="X87" s="237"/>
      <c r="Y87" s="237"/>
      <c r="Z87" s="237"/>
      <c r="AA87" s="237"/>
      <c r="AB87" s="237"/>
      <c r="AC87" s="165" t="s">
        <v>553</v>
      </c>
      <c r="AD87" s="162">
        <f t="shared" si="12"/>
        <v>20</v>
      </c>
      <c r="AE87" s="72"/>
      <c r="AF87" s="72">
        <f t="shared" si="13"/>
        <v>1</v>
      </c>
      <c r="AG87" s="72"/>
    </row>
    <row r="88" spans="1:33" ht="23.25" hidden="1">
      <c r="A88" s="72">
        <v>85</v>
      </c>
      <c r="B88" s="72">
        <v>120058</v>
      </c>
      <c r="C88" s="72" t="s">
        <v>157</v>
      </c>
      <c r="D88" s="72" t="s">
        <v>27</v>
      </c>
      <c r="E88" s="171" t="s">
        <v>126</v>
      </c>
      <c r="F88" s="162"/>
      <c r="G88" s="100">
        <v>400</v>
      </c>
      <c r="H88" s="100">
        <f t="shared" si="8"/>
        <v>50</v>
      </c>
      <c r="I88" s="100">
        <f t="shared" si="9"/>
        <v>75</v>
      </c>
      <c r="J88" s="100">
        <f t="shared" si="10"/>
        <v>100</v>
      </c>
      <c r="K88" s="100">
        <f t="shared" si="11"/>
        <v>150</v>
      </c>
      <c r="L88" s="231" t="s">
        <v>558</v>
      </c>
      <c r="M88" s="231" t="s">
        <v>557</v>
      </c>
      <c r="N88" s="156"/>
      <c r="O88" s="156"/>
      <c r="P88" s="156"/>
      <c r="Q88" s="156"/>
      <c r="R88" s="156"/>
      <c r="S88" s="156"/>
      <c r="T88" s="231" t="s">
        <v>558</v>
      </c>
      <c r="U88" s="156"/>
      <c r="V88" s="156"/>
      <c r="W88" s="156"/>
      <c r="X88" s="237"/>
      <c r="Y88" s="237"/>
      <c r="Z88" s="237"/>
      <c r="AA88" s="237"/>
      <c r="AB88" s="237"/>
      <c r="AC88" s="165" t="s">
        <v>553</v>
      </c>
      <c r="AD88" s="162">
        <f t="shared" si="12"/>
        <v>20</v>
      </c>
      <c r="AE88" s="72"/>
      <c r="AF88" s="72">
        <f t="shared" si="13"/>
        <v>1</v>
      </c>
      <c r="AG88" s="72"/>
    </row>
    <row r="89" spans="1:33" ht="23.25" hidden="1">
      <c r="A89" s="72">
        <v>86</v>
      </c>
      <c r="B89" s="72">
        <v>220743</v>
      </c>
      <c r="C89" s="72" t="s">
        <v>158</v>
      </c>
      <c r="D89" s="72" t="s">
        <v>159</v>
      </c>
      <c r="E89" s="171" t="s">
        <v>126</v>
      </c>
      <c r="F89" s="162"/>
      <c r="G89" s="100">
        <v>400</v>
      </c>
      <c r="H89" s="100">
        <f t="shared" si="8"/>
        <v>50</v>
      </c>
      <c r="I89" s="100">
        <f t="shared" si="9"/>
        <v>75</v>
      </c>
      <c r="J89" s="100">
        <f t="shared" si="10"/>
        <v>100</v>
      </c>
      <c r="K89" s="100">
        <f t="shared" si="11"/>
        <v>150</v>
      </c>
      <c r="L89" s="231" t="s">
        <v>558</v>
      </c>
      <c r="M89" s="231" t="s">
        <v>557</v>
      </c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237"/>
      <c r="Y89" s="237"/>
      <c r="Z89" s="237"/>
      <c r="AA89" s="237"/>
      <c r="AB89" s="237"/>
      <c r="AC89" s="165" t="s">
        <v>553</v>
      </c>
      <c r="AD89" s="162">
        <f t="shared" si="12"/>
        <v>20</v>
      </c>
      <c r="AE89" s="72"/>
      <c r="AF89" s="72">
        <f t="shared" si="13"/>
        <v>1</v>
      </c>
      <c r="AG89" s="72"/>
    </row>
    <row r="90" spans="1:33" ht="23.25" hidden="1">
      <c r="A90" s="72">
        <v>87</v>
      </c>
      <c r="B90" s="72">
        <v>321093</v>
      </c>
      <c r="C90" s="72" t="s">
        <v>160</v>
      </c>
      <c r="D90" s="72" t="s">
        <v>159</v>
      </c>
      <c r="E90" s="171" t="s">
        <v>126</v>
      </c>
      <c r="F90" s="162"/>
      <c r="G90" s="100">
        <v>400</v>
      </c>
      <c r="H90" s="100">
        <f t="shared" si="8"/>
        <v>50</v>
      </c>
      <c r="I90" s="100">
        <f t="shared" si="9"/>
        <v>75</v>
      </c>
      <c r="J90" s="100">
        <f t="shared" si="10"/>
        <v>100</v>
      </c>
      <c r="K90" s="100">
        <f t="shared" si="11"/>
        <v>150</v>
      </c>
      <c r="L90" s="231" t="s">
        <v>558</v>
      </c>
      <c r="M90" s="231" t="s">
        <v>557</v>
      </c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237"/>
      <c r="Y90" s="237"/>
      <c r="Z90" s="237"/>
      <c r="AA90" s="237"/>
      <c r="AB90" s="237"/>
      <c r="AC90" s="165" t="s">
        <v>553</v>
      </c>
      <c r="AD90" s="162">
        <f t="shared" si="12"/>
        <v>20</v>
      </c>
      <c r="AE90" s="72"/>
      <c r="AF90" s="72">
        <f t="shared" si="13"/>
        <v>1</v>
      </c>
      <c r="AG90" s="72"/>
    </row>
    <row r="91" spans="1:33" ht="23.25">
      <c r="A91" s="72">
        <v>88</v>
      </c>
      <c r="B91" s="72">
        <v>120157</v>
      </c>
      <c r="C91" s="72" t="s">
        <v>161</v>
      </c>
      <c r="D91" s="72" t="s">
        <v>43</v>
      </c>
      <c r="E91" s="171" t="s">
        <v>126</v>
      </c>
      <c r="F91" s="167">
        <v>12000</v>
      </c>
      <c r="G91" s="100"/>
      <c r="H91" s="100">
        <f>ROUND($F91/30/8*1,2)</f>
        <v>50</v>
      </c>
      <c r="I91" s="100">
        <f>ROUND($F91/30/8*1.5,2)</f>
        <v>75</v>
      </c>
      <c r="J91" s="100">
        <f>ROUND($F91/30/8*2,2)</f>
        <v>100</v>
      </c>
      <c r="K91" s="100">
        <f>ROUND($F91/30/8*3,2)</f>
        <v>150</v>
      </c>
      <c r="L91" s="156">
        <v>1000</v>
      </c>
      <c r="M91" s="156">
        <v>1000</v>
      </c>
      <c r="N91" s="156"/>
      <c r="O91" s="156"/>
      <c r="P91" s="156"/>
      <c r="Q91" s="156"/>
      <c r="R91" s="156"/>
      <c r="S91" s="156"/>
      <c r="T91" s="156"/>
      <c r="U91" s="156">
        <v>500</v>
      </c>
      <c r="V91" s="156">
        <v>1000</v>
      </c>
      <c r="W91" s="156">
        <v>2000</v>
      </c>
      <c r="X91" s="237"/>
      <c r="Y91" s="237"/>
      <c r="Z91" s="237"/>
      <c r="AA91" s="237"/>
      <c r="AB91" s="237"/>
      <c r="AC91" s="165" t="s">
        <v>553</v>
      </c>
      <c r="AD91" s="162">
        <f>ROUND(F91*0.05,0)</f>
        <v>600</v>
      </c>
      <c r="AE91" s="72"/>
      <c r="AF91" s="72">
        <f t="shared" si="13"/>
        <v>0</v>
      </c>
      <c r="AG91" s="72"/>
    </row>
    <row r="92" spans="1:33" ht="20.100000000000001" hidden="1" customHeight="1">
      <c r="A92" s="72">
        <v>89</v>
      </c>
      <c r="B92" s="72">
        <v>120042</v>
      </c>
      <c r="C92" s="72" t="s">
        <v>162</v>
      </c>
      <c r="D92" s="72" t="s">
        <v>27</v>
      </c>
      <c r="E92" s="171" t="s">
        <v>163</v>
      </c>
      <c r="F92" s="167">
        <v>12000</v>
      </c>
      <c r="G92" s="100"/>
      <c r="H92" s="100">
        <f t="shared" ref="H92:H132" si="14">ROUND($F92/30/8*1,2)</f>
        <v>50</v>
      </c>
      <c r="I92" s="100">
        <f t="shared" ref="I92:I132" si="15">ROUND($F92/30/8*1.5,2)</f>
        <v>75</v>
      </c>
      <c r="J92" s="100">
        <f t="shared" ref="J92:J132" si="16">ROUND($F92/30/8*2,2)</f>
        <v>100</v>
      </c>
      <c r="K92" s="100">
        <f t="shared" ref="K92:K132" si="17">ROUND($F92/30/8*3,2)</f>
        <v>150</v>
      </c>
      <c r="L92" s="156">
        <v>1000</v>
      </c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237">
        <v>500</v>
      </c>
      <c r="Y92" s="237"/>
      <c r="Z92" s="237"/>
      <c r="AA92" s="237"/>
      <c r="AB92" s="237"/>
      <c r="AC92" s="164" t="s">
        <v>553</v>
      </c>
      <c r="AD92" s="162"/>
      <c r="AE92" s="72"/>
      <c r="AF92" s="72"/>
      <c r="AG92" s="72"/>
    </row>
    <row r="93" spans="1:33" ht="20.100000000000001" hidden="1" customHeight="1">
      <c r="A93" s="72">
        <v>90</v>
      </c>
      <c r="B93" s="72">
        <v>121043</v>
      </c>
      <c r="C93" s="72" t="s">
        <v>164</v>
      </c>
      <c r="D93" s="72" t="s">
        <v>27</v>
      </c>
      <c r="E93" s="171" t="s">
        <v>163</v>
      </c>
      <c r="F93" s="167">
        <v>12000</v>
      </c>
      <c r="G93" s="100"/>
      <c r="H93" s="100">
        <f t="shared" si="14"/>
        <v>50</v>
      </c>
      <c r="I93" s="100">
        <f t="shared" si="15"/>
        <v>75</v>
      </c>
      <c r="J93" s="100">
        <f t="shared" si="16"/>
        <v>100</v>
      </c>
      <c r="K93" s="100">
        <f t="shared" si="17"/>
        <v>150</v>
      </c>
      <c r="L93" s="156">
        <v>1000</v>
      </c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237"/>
      <c r="Y93" s="237"/>
      <c r="Z93" s="237"/>
      <c r="AA93" s="237"/>
      <c r="AB93" s="237"/>
      <c r="AC93" s="164" t="s">
        <v>553</v>
      </c>
      <c r="AD93" s="162">
        <f t="shared" ref="AD93:AD110" si="18">ROUND(F93*0.05,0)</f>
        <v>600</v>
      </c>
      <c r="AE93" s="72"/>
      <c r="AF93" s="72">
        <f t="shared" ref="AF93:AF110" si="19">ROUND(F93*0.0025,0)</f>
        <v>30</v>
      </c>
      <c r="AG93" s="72"/>
    </row>
    <row r="94" spans="1:33" ht="20.100000000000001" hidden="1" customHeight="1">
      <c r="A94" s="72">
        <v>91</v>
      </c>
      <c r="B94" s="72">
        <v>121044</v>
      </c>
      <c r="C94" s="72" t="s">
        <v>165</v>
      </c>
      <c r="D94" s="72" t="s">
        <v>27</v>
      </c>
      <c r="E94" s="169" t="s">
        <v>163</v>
      </c>
      <c r="F94" s="167">
        <v>12000</v>
      </c>
      <c r="G94" s="100"/>
      <c r="H94" s="100">
        <f t="shared" si="14"/>
        <v>50</v>
      </c>
      <c r="I94" s="100">
        <f t="shared" si="15"/>
        <v>75</v>
      </c>
      <c r="J94" s="100">
        <f t="shared" si="16"/>
        <v>100</v>
      </c>
      <c r="K94" s="100">
        <f t="shared" si="17"/>
        <v>150</v>
      </c>
      <c r="L94" s="156">
        <v>1000</v>
      </c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236"/>
      <c r="Y94" s="236"/>
      <c r="Z94" s="236"/>
      <c r="AA94" s="236"/>
      <c r="AB94" s="236"/>
      <c r="AC94" s="164" t="s">
        <v>553</v>
      </c>
      <c r="AD94" s="162">
        <f t="shared" si="18"/>
        <v>600</v>
      </c>
      <c r="AE94" s="72"/>
      <c r="AF94" s="72">
        <f t="shared" si="19"/>
        <v>30</v>
      </c>
      <c r="AG94" s="72"/>
    </row>
    <row r="95" spans="1:33" ht="20.100000000000001" hidden="1" customHeight="1">
      <c r="A95" s="72">
        <v>92</v>
      </c>
      <c r="B95" s="72">
        <v>121074</v>
      </c>
      <c r="C95" s="72" t="s">
        <v>166</v>
      </c>
      <c r="D95" s="72" t="s">
        <v>27</v>
      </c>
      <c r="E95" s="169" t="s">
        <v>163</v>
      </c>
      <c r="F95" s="167">
        <v>12000</v>
      </c>
      <c r="G95" s="100"/>
      <c r="H95" s="100">
        <f t="shared" si="14"/>
        <v>50</v>
      </c>
      <c r="I95" s="100">
        <f t="shared" si="15"/>
        <v>75</v>
      </c>
      <c r="J95" s="100">
        <f t="shared" si="16"/>
        <v>100</v>
      </c>
      <c r="K95" s="100">
        <f t="shared" si="17"/>
        <v>150</v>
      </c>
      <c r="L95" s="156">
        <v>1000</v>
      </c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236"/>
      <c r="Y95" s="236"/>
      <c r="Z95" s="236"/>
      <c r="AA95" s="236"/>
      <c r="AB95" s="236"/>
      <c r="AC95" s="164" t="s">
        <v>553</v>
      </c>
      <c r="AD95" s="162">
        <f t="shared" si="18"/>
        <v>600</v>
      </c>
      <c r="AE95" s="72"/>
      <c r="AF95" s="72">
        <f t="shared" si="19"/>
        <v>30</v>
      </c>
      <c r="AG95" s="72"/>
    </row>
    <row r="96" spans="1:33" ht="20.100000000000001" hidden="1" customHeight="1">
      <c r="A96" s="72">
        <v>93</v>
      </c>
      <c r="B96" s="72">
        <v>121059</v>
      </c>
      <c r="C96" s="72" t="s">
        <v>167</v>
      </c>
      <c r="D96" s="72" t="s">
        <v>27</v>
      </c>
      <c r="E96" s="169" t="s">
        <v>163</v>
      </c>
      <c r="F96" s="167">
        <v>12000</v>
      </c>
      <c r="G96" s="100"/>
      <c r="H96" s="100">
        <f t="shared" si="14"/>
        <v>50</v>
      </c>
      <c r="I96" s="100">
        <f t="shared" si="15"/>
        <v>75</v>
      </c>
      <c r="J96" s="100">
        <f t="shared" si="16"/>
        <v>100</v>
      </c>
      <c r="K96" s="100">
        <f t="shared" si="17"/>
        <v>150</v>
      </c>
      <c r="L96" s="156">
        <v>1000</v>
      </c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236"/>
      <c r="Y96" s="236"/>
      <c r="Z96" s="236"/>
      <c r="AA96" s="236"/>
      <c r="AB96" s="236"/>
      <c r="AC96" s="164" t="s">
        <v>553</v>
      </c>
      <c r="AD96" s="162">
        <f t="shared" si="18"/>
        <v>600</v>
      </c>
      <c r="AE96" s="72"/>
      <c r="AF96" s="72">
        <f t="shared" si="19"/>
        <v>30</v>
      </c>
      <c r="AG96" s="72"/>
    </row>
    <row r="97" spans="1:33" ht="20.100000000000001" hidden="1" customHeight="1">
      <c r="A97" s="72">
        <v>94</v>
      </c>
      <c r="B97" s="72">
        <v>121024</v>
      </c>
      <c r="C97" s="72" t="s">
        <v>168</v>
      </c>
      <c r="D97" s="72" t="s">
        <v>27</v>
      </c>
      <c r="E97" s="169" t="s">
        <v>163</v>
      </c>
      <c r="F97" s="167">
        <v>12000</v>
      </c>
      <c r="G97" s="100"/>
      <c r="H97" s="100">
        <f t="shared" si="14"/>
        <v>50</v>
      </c>
      <c r="I97" s="100">
        <f t="shared" si="15"/>
        <v>75</v>
      </c>
      <c r="J97" s="100">
        <f t="shared" si="16"/>
        <v>100</v>
      </c>
      <c r="K97" s="100">
        <f t="shared" si="17"/>
        <v>150</v>
      </c>
      <c r="L97" s="156">
        <v>1000</v>
      </c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236"/>
      <c r="Y97" s="236"/>
      <c r="Z97" s="236"/>
      <c r="AA97" s="236"/>
      <c r="AB97" s="236"/>
      <c r="AC97" s="164" t="s">
        <v>553</v>
      </c>
      <c r="AD97" s="162">
        <f t="shared" si="18"/>
        <v>600</v>
      </c>
      <c r="AE97" s="72"/>
      <c r="AF97" s="72">
        <f t="shared" si="19"/>
        <v>30</v>
      </c>
      <c r="AG97" s="72"/>
    </row>
    <row r="98" spans="1:33" ht="20.100000000000001" hidden="1" customHeight="1">
      <c r="A98" s="72">
        <v>95</v>
      </c>
      <c r="B98" s="72">
        <v>111079</v>
      </c>
      <c r="C98" s="72" t="s">
        <v>169</v>
      </c>
      <c r="D98" s="72" t="s">
        <v>20</v>
      </c>
      <c r="E98" s="169" t="s">
        <v>171</v>
      </c>
      <c r="F98" s="167">
        <v>12000</v>
      </c>
      <c r="G98" s="100"/>
      <c r="H98" s="100">
        <f t="shared" si="14"/>
        <v>50</v>
      </c>
      <c r="I98" s="100">
        <f t="shared" si="15"/>
        <v>75</v>
      </c>
      <c r="J98" s="100">
        <f t="shared" si="16"/>
        <v>100</v>
      </c>
      <c r="K98" s="100">
        <f t="shared" si="17"/>
        <v>150</v>
      </c>
      <c r="L98" s="156">
        <v>1000</v>
      </c>
      <c r="M98" s="100"/>
      <c r="N98" s="100"/>
      <c r="O98" s="100"/>
      <c r="P98" s="100"/>
      <c r="Q98" s="100">
        <v>500</v>
      </c>
      <c r="R98" s="100"/>
      <c r="S98" s="100">
        <v>500</v>
      </c>
      <c r="T98" s="100"/>
      <c r="U98" s="100"/>
      <c r="V98" s="100"/>
      <c r="W98" s="100"/>
      <c r="X98" s="236"/>
      <c r="Y98" s="236"/>
      <c r="Z98" s="236"/>
      <c r="AA98" s="236"/>
      <c r="AB98" s="236"/>
      <c r="AC98" s="164" t="s">
        <v>553</v>
      </c>
      <c r="AD98" s="162">
        <f t="shared" si="18"/>
        <v>600</v>
      </c>
      <c r="AE98" s="72"/>
      <c r="AF98" s="72">
        <f t="shared" si="19"/>
        <v>30</v>
      </c>
      <c r="AG98" s="72"/>
    </row>
    <row r="99" spans="1:33" ht="20.100000000000001" hidden="1" customHeight="1">
      <c r="A99" s="72">
        <v>96</v>
      </c>
      <c r="B99" s="72">
        <v>121032</v>
      </c>
      <c r="C99" s="72" t="s">
        <v>172</v>
      </c>
      <c r="D99" s="72" t="s">
        <v>27</v>
      </c>
      <c r="E99" s="169" t="s">
        <v>171</v>
      </c>
      <c r="F99" s="167">
        <v>12000</v>
      </c>
      <c r="G99" s="100"/>
      <c r="H99" s="100">
        <f t="shared" si="14"/>
        <v>50</v>
      </c>
      <c r="I99" s="100">
        <f t="shared" si="15"/>
        <v>75</v>
      </c>
      <c r="J99" s="100">
        <f t="shared" si="16"/>
        <v>100</v>
      </c>
      <c r="K99" s="100">
        <f t="shared" si="17"/>
        <v>150</v>
      </c>
      <c r="L99" s="156">
        <v>1000</v>
      </c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236">
        <v>500</v>
      </c>
      <c r="Y99" s="236"/>
      <c r="Z99" s="236"/>
      <c r="AA99" s="236"/>
      <c r="AB99" s="236"/>
      <c r="AC99" s="164" t="s">
        <v>553</v>
      </c>
      <c r="AD99" s="162">
        <f t="shared" si="18"/>
        <v>600</v>
      </c>
      <c r="AE99" s="72"/>
      <c r="AF99" s="72">
        <f t="shared" si="19"/>
        <v>30</v>
      </c>
      <c r="AG99" s="72"/>
    </row>
    <row r="100" spans="1:33" ht="20.100000000000001" hidden="1" customHeight="1">
      <c r="A100" s="72">
        <v>97</v>
      </c>
      <c r="B100" s="72">
        <v>121033</v>
      </c>
      <c r="C100" s="72" t="s">
        <v>173</v>
      </c>
      <c r="D100" s="72" t="s">
        <v>27</v>
      </c>
      <c r="E100" s="169" t="s">
        <v>171</v>
      </c>
      <c r="F100" s="167">
        <v>12000</v>
      </c>
      <c r="G100" s="100"/>
      <c r="H100" s="100">
        <f t="shared" si="14"/>
        <v>50</v>
      </c>
      <c r="I100" s="100">
        <f t="shared" si="15"/>
        <v>75</v>
      </c>
      <c r="J100" s="100">
        <f t="shared" si="16"/>
        <v>100</v>
      </c>
      <c r="K100" s="100">
        <f t="shared" si="17"/>
        <v>150</v>
      </c>
      <c r="L100" s="156">
        <v>1000</v>
      </c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236"/>
      <c r="Y100" s="236"/>
      <c r="Z100" s="236"/>
      <c r="AA100" s="236"/>
      <c r="AB100" s="236"/>
      <c r="AC100" s="164" t="s">
        <v>553</v>
      </c>
      <c r="AD100" s="162">
        <f t="shared" si="18"/>
        <v>600</v>
      </c>
      <c r="AE100" s="72"/>
      <c r="AF100" s="72">
        <f t="shared" si="19"/>
        <v>30</v>
      </c>
      <c r="AG100" s="72"/>
    </row>
    <row r="101" spans="1:33" ht="20.100000000000001" hidden="1" customHeight="1">
      <c r="A101" s="72">
        <v>98</v>
      </c>
      <c r="B101" s="72">
        <v>121035</v>
      </c>
      <c r="C101" s="72" t="s">
        <v>174</v>
      </c>
      <c r="D101" s="72" t="s">
        <v>27</v>
      </c>
      <c r="E101" s="169" t="s">
        <v>171</v>
      </c>
      <c r="F101" s="167">
        <v>12000</v>
      </c>
      <c r="G101" s="100"/>
      <c r="H101" s="100">
        <f t="shared" si="14"/>
        <v>50</v>
      </c>
      <c r="I101" s="100">
        <f t="shared" si="15"/>
        <v>75</v>
      </c>
      <c r="J101" s="100">
        <f t="shared" si="16"/>
        <v>100</v>
      </c>
      <c r="K101" s="100">
        <f t="shared" si="17"/>
        <v>150</v>
      </c>
      <c r="L101" s="156">
        <v>1000</v>
      </c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236"/>
      <c r="Y101" s="236"/>
      <c r="Z101" s="236"/>
      <c r="AA101" s="236"/>
      <c r="AB101" s="236"/>
      <c r="AC101" s="164" t="s">
        <v>553</v>
      </c>
      <c r="AD101" s="162">
        <f t="shared" si="18"/>
        <v>600</v>
      </c>
      <c r="AE101" s="72"/>
      <c r="AF101" s="72">
        <f t="shared" si="19"/>
        <v>30</v>
      </c>
      <c r="AG101" s="72"/>
    </row>
    <row r="102" spans="1:33" ht="20.100000000000001" hidden="1" customHeight="1">
      <c r="A102" s="72">
        <v>99</v>
      </c>
      <c r="B102" s="72">
        <v>121036</v>
      </c>
      <c r="C102" s="72" t="s">
        <v>175</v>
      </c>
      <c r="D102" s="72" t="s">
        <v>27</v>
      </c>
      <c r="E102" s="169" t="s">
        <v>171</v>
      </c>
      <c r="F102" s="167">
        <v>12000</v>
      </c>
      <c r="G102" s="100"/>
      <c r="H102" s="100">
        <f t="shared" si="14"/>
        <v>50</v>
      </c>
      <c r="I102" s="100">
        <f t="shared" si="15"/>
        <v>75</v>
      </c>
      <c r="J102" s="100">
        <f t="shared" si="16"/>
        <v>100</v>
      </c>
      <c r="K102" s="100">
        <f t="shared" si="17"/>
        <v>150</v>
      </c>
      <c r="L102" s="156">
        <v>1000</v>
      </c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236"/>
      <c r="Y102" s="236"/>
      <c r="Z102" s="236"/>
      <c r="AA102" s="236"/>
      <c r="AB102" s="236"/>
      <c r="AC102" s="164" t="s">
        <v>553</v>
      </c>
      <c r="AD102" s="162">
        <f t="shared" si="18"/>
        <v>600</v>
      </c>
      <c r="AE102" s="72"/>
      <c r="AF102" s="72">
        <f t="shared" si="19"/>
        <v>30</v>
      </c>
      <c r="AG102" s="72"/>
    </row>
    <row r="103" spans="1:33" ht="20.100000000000001" hidden="1" customHeight="1">
      <c r="A103" s="72">
        <v>100</v>
      </c>
      <c r="B103" s="72">
        <v>121037</v>
      </c>
      <c r="C103" s="72" t="s">
        <v>176</v>
      </c>
      <c r="D103" s="72" t="s">
        <v>27</v>
      </c>
      <c r="E103" s="169" t="s">
        <v>171</v>
      </c>
      <c r="F103" s="167">
        <v>12000</v>
      </c>
      <c r="G103" s="100"/>
      <c r="H103" s="100">
        <f t="shared" si="14"/>
        <v>50</v>
      </c>
      <c r="I103" s="100">
        <f t="shared" si="15"/>
        <v>75</v>
      </c>
      <c r="J103" s="100">
        <f t="shared" si="16"/>
        <v>100</v>
      </c>
      <c r="K103" s="100">
        <f t="shared" si="17"/>
        <v>150</v>
      </c>
      <c r="L103" s="156">
        <v>1000</v>
      </c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236"/>
      <c r="Y103" s="236"/>
      <c r="Z103" s="236"/>
      <c r="AA103" s="236"/>
      <c r="AB103" s="236"/>
      <c r="AC103" s="164" t="s">
        <v>553</v>
      </c>
      <c r="AD103" s="162">
        <f t="shared" si="18"/>
        <v>600</v>
      </c>
      <c r="AE103" s="72"/>
      <c r="AF103" s="72">
        <f t="shared" si="19"/>
        <v>30</v>
      </c>
      <c r="AG103" s="72"/>
    </row>
    <row r="104" spans="1:33" ht="20.100000000000001" hidden="1" customHeight="1">
      <c r="A104" s="72">
        <v>101</v>
      </c>
      <c r="B104" s="72">
        <v>121038</v>
      </c>
      <c r="C104" s="72" t="s">
        <v>177</v>
      </c>
      <c r="D104" s="72" t="s">
        <v>27</v>
      </c>
      <c r="E104" s="169" t="s">
        <v>171</v>
      </c>
      <c r="F104" s="167">
        <v>12000</v>
      </c>
      <c r="G104" s="100"/>
      <c r="H104" s="100">
        <f t="shared" si="14"/>
        <v>50</v>
      </c>
      <c r="I104" s="100">
        <f t="shared" si="15"/>
        <v>75</v>
      </c>
      <c r="J104" s="100">
        <f t="shared" si="16"/>
        <v>100</v>
      </c>
      <c r="K104" s="100">
        <f t="shared" si="17"/>
        <v>150</v>
      </c>
      <c r="L104" s="156">
        <v>1000</v>
      </c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236"/>
      <c r="Y104" s="236"/>
      <c r="Z104" s="236"/>
      <c r="AA104" s="236"/>
      <c r="AB104" s="236"/>
      <c r="AC104" s="164" t="s">
        <v>553</v>
      </c>
      <c r="AD104" s="162">
        <f t="shared" si="18"/>
        <v>600</v>
      </c>
      <c r="AE104" s="72"/>
      <c r="AF104" s="72">
        <f t="shared" si="19"/>
        <v>30</v>
      </c>
      <c r="AG104" s="72"/>
    </row>
    <row r="105" spans="1:33" ht="20.100000000000001" hidden="1" customHeight="1">
      <c r="A105" s="72">
        <v>102</v>
      </c>
      <c r="B105" s="72">
        <v>121096</v>
      </c>
      <c r="C105" s="72" t="s">
        <v>178</v>
      </c>
      <c r="D105" s="72" t="s">
        <v>27</v>
      </c>
      <c r="E105" s="169" t="s">
        <v>171</v>
      </c>
      <c r="F105" s="167">
        <v>12000</v>
      </c>
      <c r="G105" s="100"/>
      <c r="H105" s="100">
        <f t="shared" si="14"/>
        <v>50</v>
      </c>
      <c r="I105" s="100">
        <f t="shared" si="15"/>
        <v>75</v>
      </c>
      <c r="J105" s="100">
        <f t="shared" si="16"/>
        <v>100</v>
      </c>
      <c r="K105" s="100">
        <f t="shared" si="17"/>
        <v>150</v>
      </c>
      <c r="L105" s="156">
        <v>1000</v>
      </c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236"/>
      <c r="Y105" s="236"/>
      <c r="Z105" s="236"/>
      <c r="AA105" s="236"/>
      <c r="AB105" s="236"/>
      <c r="AC105" s="164" t="s">
        <v>553</v>
      </c>
      <c r="AD105" s="162">
        <f t="shared" si="18"/>
        <v>600</v>
      </c>
      <c r="AE105" s="72"/>
      <c r="AF105" s="72">
        <f t="shared" si="19"/>
        <v>30</v>
      </c>
      <c r="AG105" s="72"/>
    </row>
    <row r="106" spans="1:33" ht="20.100000000000001" hidden="1" customHeight="1">
      <c r="A106" s="72">
        <v>103</v>
      </c>
      <c r="B106" s="72">
        <v>121202</v>
      </c>
      <c r="C106" s="72" t="s">
        <v>179</v>
      </c>
      <c r="D106" s="72" t="s">
        <v>27</v>
      </c>
      <c r="E106" s="169" t="s">
        <v>180</v>
      </c>
      <c r="F106" s="167">
        <v>12000</v>
      </c>
      <c r="G106" s="100"/>
      <c r="H106" s="100">
        <f t="shared" si="14"/>
        <v>50</v>
      </c>
      <c r="I106" s="100">
        <f t="shared" si="15"/>
        <v>75</v>
      </c>
      <c r="J106" s="100">
        <f t="shared" si="16"/>
        <v>100</v>
      </c>
      <c r="K106" s="100">
        <f t="shared" si="17"/>
        <v>150</v>
      </c>
      <c r="L106" s="100">
        <v>1000</v>
      </c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236"/>
      <c r="Y106" s="236"/>
      <c r="Z106" s="236"/>
      <c r="AA106" s="236"/>
      <c r="AB106" s="236"/>
      <c r="AC106" s="164" t="s">
        <v>553</v>
      </c>
      <c r="AD106" s="162">
        <f t="shared" si="18"/>
        <v>600</v>
      </c>
      <c r="AE106" s="72"/>
      <c r="AF106" s="72">
        <f t="shared" si="19"/>
        <v>30</v>
      </c>
      <c r="AG106" s="72"/>
    </row>
    <row r="107" spans="1:33" ht="20.100000000000001" hidden="1" customHeight="1">
      <c r="A107" s="72">
        <v>104</v>
      </c>
      <c r="B107" s="72">
        <v>121203</v>
      </c>
      <c r="C107" s="72" t="s">
        <v>182</v>
      </c>
      <c r="D107" s="72" t="s">
        <v>27</v>
      </c>
      <c r="E107" s="169" t="s">
        <v>180</v>
      </c>
      <c r="F107" s="167">
        <v>12000</v>
      </c>
      <c r="G107" s="100"/>
      <c r="H107" s="100">
        <f t="shared" si="14"/>
        <v>50</v>
      </c>
      <c r="I107" s="100">
        <f t="shared" si="15"/>
        <v>75</v>
      </c>
      <c r="J107" s="100">
        <f t="shared" si="16"/>
        <v>100</v>
      </c>
      <c r="K107" s="100">
        <f t="shared" si="17"/>
        <v>150</v>
      </c>
      <c r="L107" s="100">
        <v>1000</v>
      </c>
      <c r="M107" s="100"/>
      <c r="N107" s="100"/>
      <c r="O107" s="100"/>
      <c r="P107" s="100"/>
      <c r="Q107" s="100"/>
      <c r="R107" s="100"/>
      <c r="S107" s="100">
        <v>1600</v>
      </c>
      <c r="T107" s="100"/>
      <c r="U107" s="100"/>
      <c r="V107" s="100"/>
      <c r="W107" s="100"/>
      <c r="X107" s="236"/>
      <c r="Y107" s="236"/>
      <c r="Z107" s="236"/>
      <c r="AA107" s="236"/>
      <c r="AB107" s="236"/>
      <c r="AC107" s="164" t="s">
        <v>553</v>
      </c>
      <c r="AD107" s="162">
        <f t="shared" si="18"/>
        <v>600</v>
      </c>
      <c r="AE107" s="72"/>
      <c r="AF107" s="72">
        <f t="shared" si="19"/>
        <v>30</v>
      </c>
      <c r="AG107" s="72"/>
    </row>
    <row r="108" spans="1:33" ht="20.100000000000001" hidden="1" customHeight="1">
      <c r="A108" s="72">
        <v>105</v>
      </c>
      <c r="B108" s="72">
        <v>121204</v>
      </c>
      <c r="C108" s="72" t="s">
        <v>184</v>
      </c>
      <c r="D108" s="72" t="s">
        <v>27</v>
      </c>
      <c r="E108" s="169" t="s">
        <v>180</v>
      </c>
      <c r="F108" s="167"/>
      <c r="G108" s="100">
        <v>400</v>
      </c>
      <c r="H108" s="100">
        <f>ROUND($G108/8*1,2)</f>
        <v>50</v>
      </c>
      <c r="I108" s="100">
        <f>ROUND($G108/8*1.5,2)</f>
        <v>75</v>
      </c>
      <c r="J108" s="100">
        <f>ROUND($G108/8*2,2)</f>
        <v>100</v>
      </c>
      <c r="K108" s="100">
        <f>ROUND($G108/8*3,2)</f>
        <v>150</v>
      </c>
      <c r="L108" s="231" t="s">
        <v>560</v>
      </c>
      <c r="M108" s="100"/>
      <c r="N108" s="100"/>
      <c r="O108" s="100"/>
      <c r="P108" s="100"/>
      <c r="Q108" s="231" t="s">
        <v>557</v>
      </c>
      <c r="R108" s="100"/>
      <c r="S108" s="100"/>
      <c r="T108" s="100"/>
      <c r="U108" s="100"/>
      <c r="V108" s="100"/>
      <c r="W108" s="100"/>
      <c r="X108" s="236"/>
      <c r="Y108" s="236"/>
      <c r="Z108" s="236"/>
      <c r="AA108" s="236"/>
      <c r="AB108" s="236"/>
      <c r="AC108" s="164" t="s">
        <v>553</v>
      </c>
      <c r="AD108" s="162">
        <f t="shared" si="18"/>
        <v>0</v>
      </c>
      <c r="AE108" s="72"/>
      <c r="AF108" s="72">
        <f t="shared" si="19"/>
        <v>0</v>
      </c>
      <c r="AG108" s="72"/>
    </row>
    <row r="109" spans="1:33" ht="20.100000000000001" hidden="1" customHeight="1">
      <c r="A109" s="72">
        <v>106</v>
      </c>
      <c r="B109" s="72">
        <v>110921</v>
      </c>
      <c r="C109" s="72" t="s">
        <v>186</v>
      </c>
      <c r="D109" s="72" t="s">
        <v>65</v>
      </c>
      <c r="E109" s="169" t="s">
        <v>187</v>
      </c>
      <c r="F109" s="167">
        <v>12000</v>
      </c>
      <c r="G109" s="100"/>
      <c r="H109" s="100">
        <f t="shared" si="14"/>
        <v>50</v>
      </c>
      <c r="I109" s="100">
        <f t="shared" si="15"/>
        <v>75</v>
      </c>
      <c r="J109" s="100">
        <f t="shared" si="16"/>
        <v>100</v>
      </c>
      <c r="K109" s="100">
        <f t="shared" si="17"/>
        <v>150</v>
      </c>
      <c r="L109" s="231" t="s">
        <v>549</v>
      </c>
      <c r="M109" s="100"/>
      <c r="N109" s="100"/>
      <c r="O109" s="100">
        <v>500</v>
      </c>
      <c r="P109" s="100"/>
      <c r="Q109" s="100"/>
      <c r="R109" s="100"/>
      <c r="S109" s="100"/>
      <c r="T109" s="100"/>
      <c r="U109" s="100"/>
      <c r="V109" s="100"/>
      <c r="W109" s="100"/>
      <c r="X109" s="236"/>
      <c r="Y109" s="236"/>
      <c r="Z109" s="236"/>
      <c r="AA109" s="236"/>
      <c r="AB109" s="236"/>
      <c r="AC109" s="164" t="s">
        <v>553</v>
      </c>
      <c r="AD109" s="162">
        <f t="shared" si="18"/>
        <v>600</v>
      </c>
      <c r="AE109" s="72"/>
      <c r="AF109" s="72">
        <f t="shared" si="19"/>
        <v>30</v>
      </c>
      <c r="AG109" s="72"/>
    </row>
    <row r="110" spans="1:33" ht="20.100000000000001" hidden="1" customHeight="1">
      <c r="A110" s="72">
        <v>107</v>
      </c>
      <c r="B110" s="72">
        <v>111086</v>
      </c>
      <c r="C110" s="72" t="s">
        <v>188</v>
      </c>
      <c r="D110" s="72" t="s">
        <v>20</v>
      </c>
      <c r="E110" s="169" t="s">
        <v>187</v>
      </c>
      <c r="F110" s="167">
        <v>12000</v>
      </c>
      <c r="G110" s="100"/>
      <c r="H110" s="100">
        <f t="shared" si="14"/>
        <v>50</v>
      </c>
      <c r="I110" s="100">
        <f t="shared" si="15"/>
        <v>75</v>
      </c>
      <c r="J110" s="100">
        <f t="shared" si="16"/>
        <v>100</v>
      </c>
      <c r="K110" s="100">
        <f t="shared" si="17"/>
        <v>150</v>
      </c>
      <c r="L110" s="231" t="s">
        <v>549</v>
      </c>
      <c r="M110" s="100"/>
      <c r="N110" s="100"/>
      <c r="O110" s="100">
        <v>500</v>
      </c>
      <c r="P110" s="100"/>
      <c r="Q110" s="100"/>
      <c r="R110" s="100"/>
      <c r="S110" s="100"/>
      <c r="T110" s="100"/>
      <c r="U110" s="100"/>
      <c r="V110" s="100"/>
      <c r="W110" s="100"/>
      <c r="X110" s="236"/>
      <c r="Y110" s="236"/>
      <c r="Z110" s="236"/>
      <c r="AA110" s="236"/>
      <c r="AB110" s="236"/>
      <c r="AC110" s="164" t="s">
        <v>553</v>
      </c>
      <c r="AD110" s="162">
        <f t="shared" si="18"/>
        <v>600</v>
      </c>
      <c r="AE110" s="72"/>
      <c r="AF110" s="72">
        <f t="shared" si="19"/>
        <v>30</v>
      </c>
      <c r="AG110" s="72"/>
    </row>
    <row r="111" spans="1:33" ht="20.100000000000001" hidden="1" customHeight="1">
      <c r="A111" s="72">
        <v>108</v>
      </c>
      <c r="B111" s="72">
        <v>420659</v>
      </c>
      <c r="C111" s="72" t="s">
        <v>189</v>
      </c>
      <c r="D111" s="72" t="s">
        <v>27</v>
      </c>
      <c r="E111" s="169" t="s">
        <v>187</v>
      </c>
      <c r="F111" s="167">
        <v>12000</v>
      </c>
      <c r="G111" s="100"/>
      <c r="H111" s="100">
        <f t="shared" si="14"/>
        <v>50</v>
      </c>
      <c r="I111" s="100">
        <f t="shared" si="15"/>
        <v>75</v>
      </c>
      <c r="J111" s="100">
        <f t="shared" si="16"/>
        <v>100</v>
      </c>
      <c r="K111" s="100">
        <f t="shared" si="17"/>
        <v>150</v>
      </c>
      <c r="L111" s="231" t="s">
        <v>549</v>
      </c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236"/>
      <c r="Y111" s="236"/>
      <c r="Z111" s="236"/>
      <c r="AA111" s="236"/>
      <c r="AB111" s="236"/>
      <c r="AC111" s="164" t="s">
        <v>553</v>
      </c>
      <c r="AD111" s="162">
        <v>0</v>
      </c>
      <c r="AE111" s="72"/>
      <c r="AF111" s="72">
        <v>0</v>
      </c>
      <c r="AG111" s="72"/>
    </row>
    <row r="112" spans="1:33" ht="20.100000000000001" hidden="1" customHeight="1">
      <c r="A112" s="72">
        <v>109</v>
      </c>
      <c r="B112" s="72">
        <v>120995</v>
      </c>
      <c r="C112" s="72" t="s">
        <v>191</v>
      </c>
      <c r="D112" s="72" t="s">
        <v>27</v>
      </c>
      <c r="E112" s="169" t="s">
        <v>187</v>
      </c>
      <c r="F112" s="167">
        <v>12000</v>
      </c>
      <c r="G112" s="100"/>
      <c r="H112" s="100">
        <f t="shared" si="14"/>
        <v>50</v>
      </c>
      <c r="I112" s="100">
        <f t="shared" si="15"/>
        <v>75</v>
      </c>
      <c r="J112" s="100">
        <f t="shared" si="16"/>
        <v>100</v>
      </c>
      <c r="K112" s="100">
        <f t="shared" si="17"/>
        <v>150</v>
      </c>
      <c r="L112" s="231" t="s">
        <v>549</v>
      </c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236"/>
      <c r="Y112" s="236"/>
      <c r="Z112" s="236"/>
      <c r="AA112" s="236"/>
      <c r="AB112" s="236"/>
      <c r="AC112" s="164" t="s">
        <v>553</v>
      </c>
      <c r="AD112" s="162">
        <f t="shared" ref="AD112:AD120" si="20">ROUND(F112*0.05,0)</f>
        <v>600</v>
      </c>
      <c r="AE112" s="72"/>
      <c r="AF112" s="72">
        <f t="shared" ref="AF112:AF120" si="21">ROUND(F112*0.0025,0)</f>
        <v>30</v>
      </c>
      <c r="AG112" s="72"/>
    </row>
    <row r="113" spans="1:33" ht="20.100000000000001" customHeight="1">
      <c r="A113" s="72">
        <v>110</v>
      </c>
      <c r="B113" s="72">
        <v>120096</v>
      </c>
      <c r="C113" s="72" t="s">
        <v>192</v>
      </c>
      <c r="D113" s="72" t="s">
        <v>43</v>
      </c>
      <c r="E113" s="169" t="s">
        <v>187</v>
      </c>
      <c r="F113" s="167">
        <v>12000</v>
      </c>
      <c r="G113" s="100"/>
      <c r="H113" s="100">
        <f t="shared" si="14"/>
        <v>50</v>
      </c>
      <c r="I113" s="100">
        <f t="shared" si="15"/>
        <v>75</v>
      </c>
      <c r="J113" s="100">
        <f t="shared" si="16"/>
        <v>100</v>
      </c>
      <c r="K113" s="100">
        <f t="shared" si="17"/>
        <v>150</v>
      </c>
      <c r="L113" s="231" t="s">
        <v>549</v>
      </c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236">
        <v>1000</v>
      </c>
      <c r="Y113" s="236"/>
      <c r="Z113" s="236"/>
      <c r="AA113" s="236"/>
      <c r="AB113" s="236"/>
      <c r="AC113" s="164" t="s">
        <v>553</v>
      </c>
      <c r="AD113" s="162">
        <f t="shared" si="20"/>
        <v>600</v>
      </c>
      <c r="AE113" s="72"/>
      <c r="AF113" s="72">
        <f t="shared" si="21"/>
        <v>30</v>
      </c>
      <c r="AG113" s="72"/>
    </row>
    <row r="114" spans="1:33" ht="20.100000000000001" hidden="1" customHeight="1">
      <c r="A114" s="72">
        <v>111</v>
      </c>
      <c r="B114" s="72">
        <v>111306</v>
      </c>
      <c r="C114" s="72" t="s">
        <v>193</v>
      </c>
      <c r="D114" s="72" t="s">
        <v>65</v>
      </c>
      <c r="E114" s="169" t="s">
        <v>194</v>
      </c>
      <c r="F114" s="167">
        <v>12000</v>
      </c>
      <c r="G114" s="100"/>
      <c r="H114" s="100">
        <f t="shared" si="14"/>
        <v>50</v>
      </c>
      <c r="I114" s="100">
        <f t="shared" si="15"/>
        <v>75</v>
      </c>
      <c r="J114" s="100">
        <f t="shared" si="16"/>
        <v>100</v>
      </c>
      <c r="K114" s="100">
        <f t="shared" si="17"/>
        <v>150</v>
      </c>
      <c r="L114" s="231" t="s">
        <v>561</v>
      </c>
      <c r="M114" s="100"/>
      <c r="N114" s="100"/>
      <c r="O114" s="100">
        <v>500</v>
      </c>
      <c r="P114" s="100"/>
      <c r="Q114" s="100"/>
      <c r="R114" s="100"/>
      <c r="S114" s="100"/>
      <c r="T114" s="100"/>
      <c r="U114" s="100"/>
      <c r="V114" s="100"/>
      <c r="W114" s="100"/>
      <c r="X114" s="236"/>
      <c r="Y114" s="236"/>
      <c r="Z114" s="236"/>
      <c r="AA114" s="236"/>
      <c r="AB114" s="236"/>
      <c r="AC114" s="164" t="s">
        <v>553</v>
      </c>
      <c r="AD114" s="162">
        <f t="shared" si="20"/>
        <v>600</v>
      </c>
      <c r="AE114" s="72"/>
      <c r="AF114" s="72">
        <f t="shared" si="21"/>
        <v>30</v>
      </c>
      <c r="AG114" s="72"/>
    </row>
    <row r="115" spans="1:33" ht="20.100000000000001" hidden="1" customHeight="1">
      <c r="A115" s="72">
        <v>112</v>
      </c>
      <c r="B115" s="72">
        <v>320957</v>
      </c>
      <c r="C115" s="72" t="s">
        <v>195</v>
      </c>
      <c r="D115" s="72" t="s">
        <v>27</v>
      </c>
      <c r="E115" s="169" t="s">
        <v>194</v>
      </c>
      <c r="F115" s="167">
        <v>12000</v>
      </c>
      <c r="G115" s="100"/>
      <c r="H115" s="100">
        <f t="shared" si="14"/>
        <v>50</v>
      </c>
      <c r="I115" s="100">
        <f t="shared" si="15"/>
        <v>75</v>
      </c>
      <c r="J115" s="100">
        <f t="shared" si="16"/>
        <v>100</v>
      </c>
      <c r="K115" s="100">
        <f t="shared" si="17"/>
        <v>150</v>
      </c>
      <c r="L115" s="231" t="s">
        <v>561</v>
      </c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236"/>
      <c r="Y115" s="236"/>
      <c r="Z115" s="236"/>
      <c r="AA115" s="236"/>
      <c r="AB115" s="236"/>
      <c r="AC115" s="164" t="s">
        <v>553</v>
      </c>
      <c r="AD115" s="162">
        <f t="shared" si="20"/>
        <v>600</v>
      </c>
      <c r="AE115" s="72"/>
      <c r="AF115" s="72">
        <f t="shared" si="21"/>
        <v>30</v>
      </c>
      <c r="AG115" s="72"/>
    </row>
    <row r="116" spans="1:33" ht="20.100000000000001" hidden="1" customHeight="1">
      <c r="A116" s="72">
        <v>113</v>
      </c>
      <c r="B116" s="72">
        <v>121050</v>
      </c>
      <c r="C116" s="72" t="s">
        <v>196</v>
      </c>
      <c r="D116" s="72" t="s">
        <v>27</v>
      </c>
      <c r="E116" s="169" t="s">
        <v>194</v>
      </c>
      <c r="F116" s="167">
        <v>12000</v>
      </c>
      <c r="G116" s="100"/>
      <c r="H116" s="100">
        <f t="shared" si="14"/>
        <v>50</v>
      </c>
      <c r="I116" s="100">
        <f t="shared" si="15"/>
        <v>75</v>
      </c>
      <c r="J116" s="100">
        <f t="shared" si="16"/>
        <v>100</v>
      </c>
      <c r="K116" s="100">
        <f t="shared" si="17"/>
        <v>150</v>
      </c>
      <c r="L116" s="231" t="s">
        <v>561</v>
      </c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236"/>
      <c r="Y116" s="236"/>
      <c r="Z116" s="236"/>
      <c r="AA116" s="236"/>
      <c r="AB116" s="236"/>
      <c r="AC116" s="164" t="s">
        <v>553</v>
      </c>
      <c r="AD116" s="162">
        <f t="shared" si="20"/>
        <v>600</v>
      </c>
      <c r="AE116" s="72"/>
      <c r="AF116" s="72">
        <f t="shared" si="21"/>
        <v>30</v>
      </c>
      <c r="AG116" s="72"/>
    </row>
    <row r="117" spans="1:33" ht="20.100000000000001" hidden="1" customHeight="1">
      <c r="A117" s="72">
        <v>114</v>
      </c>
      <c r="B117" s="72">
        <v>420769</v>
      </c>
      <c r="C117" s="72" t="s">
        <v>197</v>
      </c>
      <c r="D117" s="72" t="s">
        <v>27</v>
      </c>
      <c r="E117" s="169" t="s">
        <v>198</v>
      </c>
      <c r="F117" s="167">
        <v>12000</v>
      </c>
      <c r="G117" s="100"/>
      <c r="H117" s="100">
        <f t="shared" si="14"/>
        <v>50</v>
      </c>
      <c r="I117" s="100">
        <f t="shared" si="15"/>
        <v>75</v>
      </c>
      <c r="J117" s="100">
        <f t="shared" si="16"/>
        <v>100</v>
      </c>
      <c r="K117" s="100">
        <f t="shared" si="17"/>
        <v>150</v>
      </c>
      <c r="L117" s="231" t="s">
        <v>549</v>
      </c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236"/>
      <c r="Y117" s="236"/>
      <c r="Z117" s="236"/>
      <c r="AA117" s="236"/>
      <c r="AB117" s="236"/>
      <c r="AC117" s="164" t="s">
        <v>553</v>
      </c>
      <c r="AD117" s="162">
        <f t="shared" si="20"/>
        <v>600</v>
      </c>
      <c r="AE117" s="72"/>
      <c r="AF117" s="72">
        <f t="shared" si="21"/>
        <v>30</v>
      </c>
      <c r="AG117" s="72"/>
    </row>
    <row r="118" spans="1:33" ht="20.100000000000001" hidden="1" customHeight="1">
      <c r="A118" s="72">
        <v>115</v>
      </c>
      <c r="B118" s="72">
        <v>121083</v>
      </c>
      <c r="C118" s="72" t="s">
        <v>199</v>
      </c>
      <c r="D118" s="72" t="s">
        <v>27</v>
      </c>
      <c r="E118" s="169" t="s">
        <v>198</v>
      </c>
      <c r="F118" s="167">
        <v>12000</v>
      </c>
      <c r="G118" s="100"/>
      <c r="H118" s="100">
        <f t="shared" si="14"/>
        <v>50</v>
      </c>
      <c r="I118" s="100">
        <f t="shared" si="15"/>
        <v>75</v>
      </c>
      <c r="J118" s="100">
        <f t="shared" si="16"/>
        <v>100</v>
      </c>
      <c r="K118" s="100">
        <f t="shared" si="17"/>
        <v>150</v>
      </c>
      <c r="L118" s="231" t="s">
        <v>549</v>
      </c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236"/>
      <c r="Y118" s="236"/>
      <c r="Z118" s="236"/>
      <c r="AA118" s="236"/>
      <c r="AB118" s="236"/>
      <c r="AC118" s="164" t="s">
        <v>553</v>
      </c>
      <c r="AD118" s="162">
        <f t="shared" si="20"/>
        <v>600</v>
      </c>
      <c r="AE118" s="72"/>
      <c r="AF118" s="72">
        <f t="shared" si="21"/>
        <v>30</v>
      </c>
      <c r="AG118" s="72"/>
    </row>
    <row r="119" spans="1:33" ht="20.100000000000001" hidden="1" customHeight="1">
      <c r="A119" s="72">
        <v>116</v>
      </c>
      <c r="B119" s="72">
        <v>220680</v>
      </c>
      <c r="C119" s="72" t="s">
        <v>200</v>
      </c>
      <c r="D119" s="72" t="s">
        <v>27</v>
      </c>
      <c r="E119" s="169" t="s">
        <v>198</v>
      </c>
      <c r="F119" s="167">
        <v>12000</v>
      </c>
      <c r="G119" s="100"/>
      <c r="H119" s="100">
        <f t="shared" si="14"/>
        <v>50</v>
      </c>
      <c r="I119" s="100">
        <f t="shared" si="15"/>
        <v>75</v>
      </c>
      <c r="J119" s="100">
        <f t="shared" si="16"/>
        <v>100</v>
      </c>
      <c r="K119" s="100">
        <f t="shared" si="17"/>
        <v>150</v>
      </c>
      <c r="L119" s="231" t="s">
        <v>549</v>
      </c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236"/>
      <c r="Y119" s="236"/>
      <c r="Z119" s="236"/>
      <c r="AA119" s="236"/>
      <c r="AB119" s="236"/>
      <c r="AC119" s="164" t="s">
        <v>553</v>
      </c>
      <c r="AD119" s="162">
        <f t="shared" si="20"/>
        <v>600</v>
      </c>
      <c r="AE119" s="72"/>
      <c r="AF119" s="72">
        <f t="shared" si="21"/>
        <v>30</v>
      </c>
      <c r="AG119" s="72"/>
    </row>
    <row r="120" spans="1:33" ht="20.100000000000001" hidden="1" customHeight="1">
      <c r="A120" s="72">
        <v>117</v>
      </c>
      <c r="B120" s="72">
        <v>111082</v>
      </c>
      <c r="C120" s="72" t="s">
        <v>201</v>
      </c>
      <c r="D120" s="72" t="s">
        <v>51</v>
      </c>
      <c r="E120" s="169" t="s">
        <v>198</v>
      </c>
      <c r="F120" s="167">
        <v>12000</v>
      </c>
      <c r="G120" s="100"/>
      <c r="H120" s="100">
        <f t="shared" si="14"/>
        <v>50</v>
      </c>
      <c r="I120" s="100">
        <f t="shared" si="15"/>
        <v>75</v>
      </c>
      <c r="J120" s="100">
        <f t="shared" si="16"/>
        <v>100</v>
      </c>
      <c r="K120" s="100">
        <f t="shared" si="17"/>
        <v>150</v>
      </c>
      <c r="L120" s="100">
        <v>1000</v>
      </c>
      <c r="M120" s="100"/>
      <c r="N120" s="100"/>
      <c r="O120" s="231" t="s">
        <v>544</v>
      </c>
      <c r="P120" s="100"/>
      <c r="Q120" s="100"/>
      <c r="R120" s="100"/>
      <c r="S120" s="100"/>
      <c r="T120" s="100"/>
      <c r="U120" s="100"/>
      <c r="V120" s="100"/>
      <c r="W120" s="100"/>
      <c r="X120" s="236"/>
      <c r="Y120" s="236"/>
      <c r="Z120" s="236"/>
      <c r="AA120" s="236"/>
      <c r="AB120" s="236"/>
      <c r="AC120" s="164" t="s">
        <v>553</v>
      </c>
      <c r="AD120" s="162">
        <f t="shared" si="20"/>
        <v>600</v>
      </c>
      <c r="AE120" s="72"/>
      <c r="AF120" s="72">
        <f t="shared" si="21"/>
        <v>30</v>
      </c>
      <c r="AG120" s="72"/>
    </row>
    <row r="121" spans="1:33" ht="20.100000000000001" hidden="1" customHeight="1">
      <c r="A121" s="72">
        <v>118</v>
      </c>
      <c r="B121" s="72">
        <v>211049</v>
      </c>
      <c r="C121" s="72" t="s">
        <v>202</v>
      </c>
      <c r="D121" s="72" t="s">
        <v>65</v>
      </c>
      <c r="E121" s="169" t="s">
        <v>203</v>
      </c>
      <c r="F121" s="167">
        <v>12000</v>
      </c>
      <c r="G121" s="100"/>
      <c r="H121" s="100">
        <f t="shared" si="14"/>
        <v>50</v>
      </c>
      <c r="I121" s="100">
        <f t="shared" si="15"/>
        <v>75</v>
      </c>
      <c r="J121" s="100">
        <f t="shared" si="16"/>
        <v>100</v>
      </c>
      <c r="K121" s="100">
        <f t="shared" si="17"/>
        <v>150</v>
      </c>
      <c r="L121" s="231" t="s">
        <v>561</v>
      </c>
      <c r="M121" s="100"/>
      <c r="N121" s="100"/>
      <c r="O121" s="100">
        <v>500</v>
      </c>
      <c r="P121" s="100"/>
      <c r="Q121" s="100"/>
      <c r="R121" s="100"/>
      <c r="S121" s="100"/>
      <c r="T121" s="100"/>
      <c r="U121" s="100"/>
      <c r="V121" s="100"/>
      <c r="W121" s="100"/>
      <c r="X121" s="236"/>
      <c r="Y121" s="236"/>
      <c r="Z121" s="236"/>
      <c r="AA121" s="236"/>
      <c r="AB121" s="236"/>
      <c r="AC121" s="164" t="s">
        <v>553</v>
      </c>
      <c r="AD121" s="162">
        <v>0</v>
      </c>
      <c r="AE121" s="72"/>
      <c r="AF121" s="72">
        <v>0</v>
      </c>
      <c r="AG121" s="72"/>
    </row>
    <row r="122" spans="1:33" ht="20.100000000000001" hidden="1" customHeight="1">
      <c r="A122" s="72">
        <v>119</v>
      </c>
      <c r="B122" s="72">
        <v>221092</v>
      </c>
      <c r="C122" s="72" t="s">
        <v>204</v>
      </c>
      <c r="D122" s="72" t="s">
        <v>27</v>
      </c>
      <c r="E122" s="169" t="s">
        <v>203</v>
      </c>
      <c r="F122" s="167">
        <v>12000</v>
      </c>
      <c r="G122" s="100"/>
      <c r="H122" s="100">
        <f t="shared" si="14"/>
        <v>50</v>
      </c>
      <c r="I122" s="100">
        <f t="shared" si="15"/>
        <v>75</v>
      </c>
      <c r="J122" s="100">
        <f t="shared" si="16"/>
        <v>100</v>
      </c>
      <c r="K122" s="100">
        <f t="shared" si="17"/>
        <v>150</v>
      </c>
      <c r="L122" s="231" t="s">
        <v>561</v>
      </c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236"/>
      <c r="Y122" s="236"/>
      <c r="Z122" s="236"/>
      <c r="AA122" s="236"/>
      <c r="AB122" s="236"/>
      <c r="AC122" s="164" t="s">
        <v>553</v>
      </c>
      <c r="AD122" s="162">
        <v>0</v>
      </c>
      <c r="AE122" s="72"/>
      <c r="AF122" s="72">
        <v>0</v>
      </c>
      <c r="AG122" s="72"/>
    </row>
    <row r="123" spans="1:33" ht="20.100000000000001" hidden="1" customHeight="1">
      <c r="A123" s="72">
        <v>120</v>
      </c>
      <c r="B123" s="72">
        <v>120527</v>
      </c>
      <c r="C123" s="72" t="s">
        <v>205</v>
      </c>
      <c r="D123" s="72" t="s">
        <v>27</v>
      </c>
      <c r="E123" s="169" t="s">
        <v>203</v>
      </c>
      <c r="F123" s="167">
        <v>12000</v>
      </c>
      <c r="G123" s="100"/>
      <c r="H123" s="100">
        <f t="shared" si="14"/>
        <v>50</v>
      </c>
      <c r="I123" s="100">
        <f t="shared" si="15"/>
        <v>75</v>
      </c>
      <c r="J123" s="100">
        <f t="shared" si="16"/>
        <v>100</v>
      </c>
      <c r="K123" s="100">
        <f t="shared" si="17"/>
        <v>150</v>
      </c>
      <c r="L123" s="231" t="s">
        <v>561</v>
      </c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236"/>
      <c r="Y123" s="236"/>
      <c r="Z123" s="236"/>
      <c r="AA123" s="236"/>
      <c r="AB123" s="236"/>
      <c r="AC123" s="164" t="s">
        <v>553</v>
      </c>
      <c r="AD123" s="162">
        <f>ROUND(F123*0.05,0)</f>
        <v>600</v>
      </c>
      <c r="AE123" s="72"/>
      <c r="AF123" s="72">
        <f>ROUND(F123*0.0025,0)</f>
        <v>30</v>
      </c>
      <c r="AG123" s="72"/>
    </row>
    <row r="124" spans="1:33" ht="20.100000000000001" hidden="1" customHeight="1">
      <c r="A124" s="72">
        <v>121</v>
      </c>
      <c r="B124" s="72">
        <v>120968</v>
      </c>
      <c r="C124" s="72" t="s">
        <v>206</v>
      </c>
      <c r="D124" s="72" t="s">
        <v>27</v>
      </c>
      <c r="E124" s="169" t="s">
        <v>203</v>
      </c>
      <c r="F124" s="167">
        <v>12000</v>
      </c>
      <c r="G124" s="100"/>
      <c r="H124" s="100">
        <f t="shared" si="14"/>
        <v>50</v>
      </c>
      <c r="I124" s="100">
        <f t="shared" si="15"/>
        <v>75</v>
      </c>
      <c r="J124" s="100">
        <f t="shared" si="16"/>
        <v>100</v>
      </c>
      <c r="K124" s="100">
        <f t="shared" si="17"/>
        <v>150</v>
      </c>
      <c r="L124" s="231" t="s">
        <v>561</v>
      </c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236"/>
      <c r="Y124" s="236"/>
      <c r="Z124" s="236"/>
      <c r="AA124" s="236"/>
      <c r="AB124" s="236"/>
      <c r="AC124" s="164" t="s">
        <v>553</v>
      </c>
      <c r="AD124" s="162">
        <f>ROUND(F124*0.05,0)</f>
        <v>600</v>
      </c>
      <c r="AE124" s="72"/>
      <c r="AF124" s="72">
        <f>ROUND(F124*0.0025,0)</f>
        <v>30</v>
      </c>
      <c r="AG124" s="72"/>
    </row>
    <row r="125" spans="1:33" ht="20.100000000000001" hidden="1" customHeight="1">
      <c r="A125" s="72">
        <v>122</v>
      </c>
      <c r="B125" s="72">
        <v>110618</v>
      </c>
      <c r="C125" s="72" t="s">
        <v>207</v>
      </c>
      <c r="D125" s="72" t="s">
        <v>65</v>
      </c>
      <c r="E125" s="169" t="s">
        <v>208</v>
      </c>
      <c r="F125" s="167">
        <v>12000</v>
      </c>
      <c r="G125" s="100"/>
      <c r="H125" s="100">
        <f t="shared" si="14"/>
        <v>50</v>
      </c>
      <c r="I125" s="100">
        <f t="shared" si="15"/>
        <v>75</v>
      </c>
      <c r="J125" s="100">
        <f t="shared" si="16"/>
        <v>100</v>
      </c>
      <c r="K125" s="100">
        <f t="shared" si="17"/>
        <v>150</v>
      </c>
      <c r="L125" s="231" t="s">
        <v>561</v>
      </c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236"/>
      <c r="Y125" s="236"/>
      <c r="Z125" s="236"/>
      <c r="AA125" s="236"/>
      <c r="AB125" s="236"/>
      <c r="AC125" s="164" t="s">
        <v>553</v>
      </c>
      <c r="AD125" s="162">
        <v>0</v>
      </c>
      <c r="AE125" s="72"/>
      <c r="AF125" s="72">
        <v>0</v>
      </c>
      <c r="AG125" s="72"/>
    </row>
    <row r="126" spans="1:33" ht="20.100000000000001" hidden="1" customHeight="1">
      <c r="A126" s="72">
        <v>123</v>
      </c>
      <c r="B126" s="72">
        <v>120412</v>
      </c>
      <c r="C126" s="72" t="s">
        <v>409</v>
      </c>
      <c r="D126" s="72" t="s">
        <v>27</v>
      </c>
      <c r="E126" s="169" t="s">
        <v>208</v>
      </c>
      <c r="F126" s="167">
        <v>12000</v>
      </c>
      <c r="G126" s="100"/>
      <c r="H126" s="100">
        <f t="shared" si="14"/>
        <v>50</v>
      </c>
      <c r="I126" s="100">
        <f t="shared" si="15"/>
        <v>75</v>
      </c>
      <c r="J126" s="100">
        <f t="shared" si="16"/>
        <v>100</v>
      </c>
      <c r="K126" s="100">
        <f t="shared" si="17"/>
        <v>150</v>
      </c>
      <c r="L126" s="231" t="s">
        <v>561</v>
      </c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236"/>
      <c r="Y126" s="236"/>
      <c r="Z126" s="236"/>
      <c r="AA126" s="236"/>
      <c r="AB126" s="236"/>
      <c r="AC126" s="164" t="s">
        <v>553</v>
      </c>
      <c r="AD126" s="162">
        <f t="shared" ref="AD126:AD137" si="22">ROUND(F126*0.05,0)</f>
        <v>600</v>
      </c>
      <c r="AE126" s="72"/>
      <c r="AF126" s="72">
        <f t="shared" ref="AF126:AF137" si="23">ROUND(F126*0.0025,0)</f>
        <v>30</v>
      </c>
      <c r="AG126" s="72"/>
    </row>
    <row r="127" spans="1:33" ht="20.100000000000001" hidden="1" customHeight="1">
      <c r="A127" s="72">
        <v>124</v>
      </c>
      <c r="B127" s="72">
        <v>111103</v>
      </c>
      <c r="C127" s="72" t="s">
        <v>209</v>
      </c>
      <c r="D127" s="72" t="s">
        <v>170</v>
      </c>
      <c r="E127" s="169" t="s">
        <v>210</v>
      </c>
      <c r="F127" s="167">
        <v>12000</v>
      </c>
      <c r="G127" s="100"/>
      <c r="H127" s="100">
        <f t="shared" si="14"/>
        <v>50</v>
      </c>
      <c r="I127" s="100">
        <f t="shared" si="15"/>
        <v>75</v>
      </c>
      <c r="J127" s="100">
        <f t="shared" si="16"/>
        <v>100</v>
      </c>
      <c r="K127" s="100">
        <f t="shared" si="17"/>
        <v>150</v>
      </c>
      <c r="L127" s="231" t="s">
        <v>561</v>
      </c>
      <c r="M127" s="100"/>
      <c r="N127" s="100"/>
      <c r="O127" s="100">
        <v>500</v>
      </c>
      <c r="P127" s="100"/>
      <c r="Q127" s="100"/>
      <c r="R127" s="100"/>
      <c r="S127" s="100"/>
      <c r="T127" s="100"/>
      <c r="U127" s="100"/>
      <c r="V127" s="100"/>
      <c r="W127" s="100"/>
      <c r="X127" s="236"/>
      <c r="Y127" s="236"/>
      <c r="Z127" s="236"/>
      <c r="AA127" s="236"/>
      <c r="AB127" s="236"/>
      <c r="AC127" s="164" t="s">
        <v>553</v>
      </c>
      <c r="AD127" s="162">
        <f t="shared" si="22"/>
        <v>600</v>
      </c>
      <c r="AE127" s="72"/>
      <c r="AF127" s="72">
        <f t="shared" si="23"/>
        <v>30</v>
      </c>
      <c r="AG127" s="72"/>
    </row>
    <row r="128" spans="1:33" ht="20.100000000000001" hidden="1" customHeight="1">
      <c r="A128" s="72">
        <v>125</v>
      </c>
      <c r="B128" s="72">
        <v>111030</v>
      </c>
      <c r="C128" s="72" t="s">
        <v>211</v>
      </c>
      <c r="D128" s="72" t="s">
        <v>123</v>
      </c>
      <c r="E128" s="169" t="s">
        <v>210</v>
      </c>
      <c r="F128" s="167">
        <v>12000</v>
      </c>
      <c r="G128" s="100"/>
      <c r="H128" s="100">
        <f t="shared" si="14"/>
        <v>50</v>
      </c>
      <c r="I128" s="100">
        <f t="shared" si="15"/>
        <v>75</v>
      </c>
      <c r="J128" s="100">
        <f t="shared" si="16"/>
        <v>100</v>
      </c>
      <c r="K128" s="100">
        <f t="shared" si="17"/>
        <v>150</v>
      </c>
      <c r="L128" s="100">
        <v>1000</v>
      </c>
      <c r="M128" s="100"/>
      <c r="N128" s="100"/>
      <c r="O128" s="100"/>
      <c r="P128" s="100"/>
      <c r="Q128" s="100"/>
      <c r="R128" s="100">
        <v>1000</v>
      </c>
      <c r="S128" s="100">
        <v>1000</v>
      </c>
      <c r="T128" s="100"/>
      <c r="U128" s="100"/>
      <c r="V128" s="100"/>
      <c r="W128" s="100"/>
      <c r="X128" s="236"/>
      <c r="Y128" s="236"/>
      <c r="Z128" s="236"/>
      <c r="AA128" s="236"/>
      <c r="AB128" s="236"/>
      <c r="AC128" s="164" t="s">
        <v>553</v>
      </c>
      <c r="AD128" s="162">
        <f t="shared" si="22"/>
        <v>600</v>
      </c>
      <c r="AE128" s="72"/>
      <c r="AF128" s="72">
        <f t="shared" si="23"/>
        <v>30</v>
      </c>
      <c r="AG128" s="72"/>
    </row>
    <row r="129" spans="1:33" ht="20.100000000000001" hidden="1" customHeight="1">
      <c r="A129" s="72">
        <v>126</v>
      </c>
      <c r="B129" s="72">
        <v>111078</v>
      </c>
      <c r="C129" s="72" t="s">
        <v>402</v>
      </c>
      <c r="D129" s="72" t="s">
        <v>65</v>
      </c>
      <c r="E129" s="169" t="s">
        <v>210</v>
      </c>
      <c r="F129" s="167">
        <v>12000</v>
      </c>
      <c r="G129" s="100"/>
      <c r="H129" s="100">
        <f t="shared" si="14"/>
        <v>50</v>
      </c>
      <c r="I129" s="100">
        <f t="shared" si="15"/>
        <v>75</v>
      </c>
      <c r="J129" s="100">
        <f t="shared" si="16"/>
        <v>100</v>
      </c>
      <c r="K129" s="100">
        <f t="shared" si="17"/>
        <v>150</v>
      </c>
      <c r="L129" s="231" t="s">
        <v>561</v>
      </c>
      <c r="M129" s="100"/>
      <c r="N129" s="100"/>
      <c r="O129" s="100">
        <v>500</v>
      </c>
      <c r="P129" s="100"/>
      <c r="Q129" s="100"/>
      <c r="R129" s="100"/>
      <c r="S129" s="100"/>
      <c r="T129" s="100"/>
      <c r="U129" s="100"/>
      <c r="V129" s="100"/>
      <c r="W129" s="100"/>
      <c r="X129" s="236"/>
      <c r="Y129" s="236"/>
      <c r="Z129" s="236"/>
      <c r="AA129" s="236"/>
      <c r="AB129" s="236"/>
      <c r="AC129" s="164" t="s">
        <v>553</v>
      </c>
      <c r="AD129" s="162">
        <f t="shared" si="22"/>
        <v>600</v>
      </c>
      <c r="AE129" s="72"/>
      <c r="AF129" s="72">
        <f t="shared" si="23"/>
        <v>30</v>
      </c>
      <c r="AG129" s="72"/>
    </row>
    <row r="130" spans="1:33" ht="20.100000000000001" hidden="1" customHeight="1">
      <c r="A130" s="72">
        <v>127</v>
      </c>
      <c r="B130" s="72">
        <v>121090</v>
      </c>
      <c r="C130" s="72" t="s">
        <v>212</v>
      </c>
      <c r="D130" s="72" t="s">
        <v>27</v>
      </c>
      <c r="E130" s="169" t="s">
        <v>210</v>
      </c>
      <c r="F130" s="167">
        <v>12000</v>
      </c>
      <c r="G130" s="100"/>
      <c r="H130" s="100">
        <f t="shared" si="14"/>
        <v>50</v>
      </c>
      <c r="I130" s="100">
        <f t="shared" si="15"/>
        <v>75</v>
      </c>
      <c r="J130" s="100">
        <f t="shared" si="16"/>
        <v>100</v>
      </c>
      <c r="K130" s="100">
        <f t="shared" si="17"/>
        <v>150</v>
      </c>
      <c r="L130" s="231" t="s">
        <v>561</v>
      </c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236"/>
      <c r="Y130" s="236"/>
      <c r="Z130" s="236"/>
      <c r="AA130" s="236"/>
      <c r="AB130" s="236"/>
      <c r="AC130" s="164" t="s">
        <v>553</v>
      </c>
      <c r="AD130" s="162">
        <f t="shared" si="22"/>
        <v>600</v>
      </c>
      <c r="AE130" s="72"/>
      <c r="AF130" s="72">
        <f t="shared" si="23"/>
        <v>30</v>
      </c>
      <c r="AG130" s="72"/>
    </row>
    <row r="131" spans="1:33" ht="20.100000000000001" hidden="1" customHeight="1">
      <c r="A131" s="72">
        <v>128</v>
      </c>
      <c r="B131" s="72">
        <v>121088</v>
      </c>
      <c r="C131" s="72" t="s">
        <v>213</v>
      </c>
      <c r="D131" s="72" t="s">
        <v>27</v>
      </c>
      <c r="E131" s="169" t="s">
        <v>210</v>
      </c>
      <c r="F131" s="167">
        <v>12000</v>
      </c>
      <c r="G131" s="100"/>
      <c r="H131" s="100">
        <f t="shared" si="14"/>
        <v>50</v>
      </c>
      <c r="I131" s="100">
        <f t="shared" si="15"/>
        <v>75</v>
      </c>
      <c r="J131" s="100">
        <f t="shared" si="16"/>
        <v>100</v>
      </c>
      <c r="K131" s="100">
        <f t="shared" si="17"/>
        <v>150</v>
      </c>
      <c r="L131" s="231" t="s">
        <v>561</v>
      </c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236"/>
      <c r="Y131" s="236"/>
      <c r="Z131" s="236"/>
      <c r="AA131" s="236"/>
      <c r="AB131" s="236"/>
      <c r="AC131" s="164" t="s">
        <v>553</v>
      </c>
      <c r="AD131" s="162">
        <f t="shared" si="22"/>
        <v>600</v>
      </c>
      <c r="AE131" s="72"/>
      <c r="AF131" s="72">
        <f t="shared" si="23"/>
        <v>30</v>
      </c>
      <c r="AG131" s="72"/>
    </row>
    <row r="132" spans="1:33" ht="20.100000000000001" hidden="1" customHeight="1">
      <c r="A132" s="72">
        <v>129</v>
      </c>
      <c r="B132" s="72">
        <v>121006</v>
      </c>
      <c r="C132" s="72" t="s">
        <v>214</v>
      </c>
      <c r="D132" s="72" t="s">
        <v>27</v>
      </c>
      <c r="E132" s="169" t="s">
        <v>210</v>
      </c>
      <c r="F132" s="167">
        <v>12000</v>
      </c>
      <c r="G132" s="100"/>
      <c r="H132" s="100">
        <f t="shared" si="14"/>
        <v>50</v>
      </c>
      <c r="I132" s="100">
        <f t="shared" si="15"/>
        <v>75</v>
      </c>
      <c r="J132" s="100">
        <f t="shared" si="16"/>
        <v>100</v>
      </c>
      <c r="K132" s="100">
        <f t="shared" si="17"/>
        <v>150</v>
      </c>
      <c r="L132" s="231" t="s">
        <v>561</v>
      </c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236"/>
      <c r="Y132" s="236"/>
      <c r="Z132" s="236"/>
      <c r="AA132" s="236"/>
      <c r="AB132" s="236"/>
      <c r="AC132" s="164" t="s">
        <v>553</v>
      </c>
      <c r="AD132" s="162">
        <f t="shared" si="22"/>
        <v>600</v>
      </c>
      <c r="AE132" s="72"/>
      <c r="AF132" s="72">
        <f t="shared" si="23"/>
        <v>30</v>
      </c>
      <c r="AG132" s="72"/>
    </row>
    <row r="133" spans="1:33" ht="20.100000000000001" hidden="1" customHeight="1">
      <c r="A133" s="72">
        <v>130</v>
      </c>
      <c r="B133" s="72">
        <v>121089</v>
      </c>
      <c r="C133" s="72" t="s">
        <v>215</v>
      </c>
      <c r="D133" s="72" t="s">
        <v>27</v>
      </c>
      <c r="E133" s="169" t="s">
        <v>210</v>
      </c>
      <c r="F133" s="167">
        <v>12000</v>
      </c>
      <c r="G133" s="100"/>
      <c r="H133" s="100">
        <f t="shared" ref="H133:H155" si="24">ROUND($F133/30/8*1,2)</f>
        <v>50</v>
      </c>
      <c r="I133" s="100">
        <f t="shared" ref="I133:I155" si="25">ROUND($F133/30/8*1.5,2)</f>
        <v>75</v>
      </c>
      <c r="J133" s="100">
        <f t="shared" ref="J133:J155" si="26">ROUND($F133/30/8*2,2)</f>
        <v>100</v>
      </c>
      <c r="K133" s="100">
        <f t="shared" ref="K133:K155" si="27">ROUND($F133/30/8*3,2)</f>
        <v>150</v>
      </c>
      <c r="L133" s="231" t="s">
        <v>561</v>
      </c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236"/>
      <c r="Y133" s="236"/>
      <c r="Z133" s="236"/>
      <c r="AA133" s="236"/>
      <c r="AB133" s="236"/>
      <c r="AC133" s="164" t="s">
        <v>553</v>
      </c>
      <c r="AD133" s="162">
        <f t="shared" si="22"/>
        <v>600</v>
      </c>
      <c r="AE133" s="72"/>
      <c r="AF133" s="72">
        <f t="shared" si="23"/>
        <v>30</v>
      </c>
      <c r="AG133" s="72"/>
    </row>
    <row r="134" spans="1:33" ht="20.100000000000001" hidden="1" customHeight="1">
      <c r="A134" s="72">
        <v>131</v>
      </c>
      <c r="B134" s="72">
        <v>121023</v>
      </c>
      <c r="C134" s="72" t="s">
        <v>216</v>
      </c>
      <c r="D134" s="72" t="s">
        <v>27</v>
      </c>
      <c r="E134" s="169" t="s">
        <v>210</v>
      </c>
      <c r="F134" s="167">
        <v>12000</v>
      </c>
      <c r="G134" s="100"/>
      <c r="H134" s="100">
        <f t="shared" si="24"/>
        <v>50</v>
      </c>
      <c r="I134" s="100">
        <f t="shared" si="25"/>
        <v>75</v>
      </c>
      <c r="J134" s="100">
        <f t="shared" si="26"/>
        <v>100</v>
      </c>
      <c r="K134" s="100">
        <f t="shared" si="27"/>
        <v>150</v>
      </c>
      <c r="L134" s="231" t="s">
        <v>561</v>
      </c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236"/>
      <c r="Y134" s="236"/>
      <c r="Z134" s="236"/>
      <c r="AA134" s="236"/>
      <c r="AB134" s="236"/>
      <c r="AC134" s="164" t="s">
        <v>553</v>
      </c>
      <c r="AD134" s="162">
        <f t="shared" si="22"/>
        <v>600</v>
      </c>
      <c r="AE134" s="72"/>
      <c r="AF134" s="72">
        <f t="shared" si="23"/>
        <v>30</v>
      </c>
      <c r="AG134" s="72"/>
    </row>
    <row r="135" spans="1:33" ht="20.100000000000001" hidden="1" customHeight="1">
      <c r="A135" s="72">
        <v>132</v>
      </c>
      <c r="B135" s="72">
        <v>121080</v>
      </c>
      <c r="C135" s="72" t="s">
        <v>217</v>
      </c>
      <c r="D135" s="72" t="s">
        <v>27</v>
      </c>
      <c r="E135" s="169" t="s">
        <v>210</v>
      </c>
      <c r="F135" s="167">
        <v>12000</v>
      </c>
      <c r="G135" s="100"/>
      <c r="H135" s="100">
        <f t="shared" si="24"/>
        <v>50</v>
      </c>
      <c r="I135" s="100">
        <f t="shared" si="25"/>
        <v>75</v>
      </c>
      <c r="J135" s="100">
        <f t="shared" si="26"/>
        <v>100</v>
      </c>
      <c r="K135" s="100">
        <f t="shared" si="27"/>
        <v>150</v>
      </c>
      <c r="L135" s="231" t="s">
        <v>561</v>
      </c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236"/>
      <c r="Y135" s="236"/>
      <c r="Z135" s="236"/>
      <c r="AA135" s="236"/>
      <c r="AB135" s="236"/>
      <c r="AC135" s="164" t="s">
        <v>553</v>
      </c>
      <c r="AD135" s="162">
        <f t="shared" si="22"/>
        <v>600</v>
      </c>
      <c r="AE135" s="72"/>
      <c r="AF135" s="72">
        <f t="shared" si="23"/>
        <v>30</v>
      </c>
      <c r="AG135" s="72"/>
    </row>
    <row r="136" spans="1:33" ht="20.100000000000001" hidden="1" customHeight="1">
      <c r="A136" s="72">
        <v>133</v>
      </c>
      <c r="B136" s="72">
        <v>121104</v>
      </c>
      <c r="C136" s="72" t="s">
        <v>218</v>
      </c>
      <c r="D136" s="72" t="s">
        <v>27</v>
      </c>
      <c r="E136" s="169" t="s">
        <v>210</v>
      </c>
      <c r="F136" s="167">
        <v>12000</v>
      </c>
      <c r="G136" s="100"/>
      <c r="H136" s="100">
        <f t="shared" si="24"/>
        <v>50</v>
      </c>
      <c r="I136" s="100">
        <f t="shared" si="25"/>
        <v>75</v>
      </c>
      <c r="J136" s="100">
        <f t="shared" si="26"/>
        <v>100</v>
      </c>
      <c r="K136" s="100">
        <f t="shared" si="27"/>
        <v>150</v>
      </c>
      <c r="L136" s="231" t="s">
        <v>561</v>
      </c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236"/>
      <c r="Y136" s="236"/>
      <c r="Z136" s="236"/>
      <c r="AA136" s="236"/>
      <c r="AB136" s="236"/>
      <c r="AC136" s="164" t="s">
        <v>553</v>
      </c>
      <c r="AD136" s="162">
        <f t="shared" si="22"/>
        <v>600</v>
      </c>
      <c r="AE136" s="72"/>
      <c r="AF136" s="72">
        <f t="shared" si="23"/>
        <v>30</v>
      </c>
      <c r="AG136" s="72"/>
    </row>
    <row r="137" spans="1:33" ht="20.100000000000001" hidden="1" customHeight="1">
      <c r="A137" s="72">
        <v>134</v>
      </c>
      <c r="B137" s="72">
        <v>120336</v>
      </c>
      <c r="C137" s="72" t="s">
        <v>219</v>
      </c>
      <c r="D137" s="72" t="s">
        <v>27</v>
      </c>
      <c r="E137" s="169" t="s">
        <v>220</v>
      </c>
      <c r="F137" s="167">
        <v>12000</v>
      </c>
      <c r="G137" s="100"/>
      <c r="H137" s="100">
        <f t="shared" si="24"/>
        <v>50</v>
      </c>
      <c r="I137" s="100">
        <f t="shared" si="25"/>
        <v>75</v>
      </c>
      <c r="J137" s="100">
        <f t="shared" si="26"/>
        <v>100</v>
      </c>
      <c r="K137" s="100">
        <f t="shared" si="27"/>
        <v>150</v>
      </c>
      <c r="L137" s="231" t="s">
        <v>561</v>
      </c>
      <c r="M137" s="100"/>
      <c r="N137" s="100"/>
      <c r="O137" s="100">
        <v>300</v>
      </c>
      <c r="P137" s="100"/>
      <c r="Q137" s="100"/>
      <c r="R137" s="100"/>
      <c r="S137" s="100"/>
      <c r="T137" s="100"/>
      <c r="U137" s="100"/>
      <c r="V137" s="100"/>
      <c r="W137" s="100"/>
      <c r="X137" s="236"/>
      <c r="Y137" s="236"/>
      <c r="Z137" s="236"/>
      <c r="AA137" s="236"/>
      <c r="AB137" s="236"/>
      <c r="AC137" s="164" t="s">
        <v>553</v>
      </c>
      <c r="AD137" s="162">
        <f t="shared" si="22"/>
        <v>600</v>
      </c>
      <c r="AE137" s="72"/>
      <c r="AF137" s="72">
        <f t="shared" si="23"/>
        <v>30</v>
      </c>
      <c r="AG137" s="72"/>
    </row>
    <row r="138" spans="1:33" ht="20.100000000000001" hidden="1" customHeight="1">
      <c r="A138" s="72">
        <v>135</v>
      </c>
      <c r="B138" s="72">
        <v>120473</v>
      </c>
      <c r="C138" s="72" t="s">
        <v>221</v>
      </c>
      <c r="D138" s="72" t="s">
        <v>27</v>
      </c>
      <c r="E138" s="169" t="s">
        <v>220</v>
      </c>
      <c r="F138" s="167">
        <v>12000</v>
      </c>
      <c r="G138" s="100"/>
      <c r="H138" s="100">
        <f t="shared" si="24"/>
        <v>50</v>
      </c>
      <c r="I138" s="100">
        <f t="shared" si="25"/>
        <v>75</v>
      </c>
      <c r="J138" s="100">
        <f t="shared" si="26"/>
        <v>100</v>
      </c>
      <c r="K138" s="100">
        <f t="shared" si="27"/>
        <v>150</v>
      </c>
      <c r="L138" s="231" t="s">
        <v>561</v>
      </c>
      <c r="M138" s="100"/>
      <c r="N138" s="100"/>
      <c r="O138" s="100">
        <v>300</v>
      </c>
      <c r="P138" s="100"/>
      <c r="Q138" s="100"/>
      <c r="R138" s="100"/>
      <c r="S138" s="100"/>
      <c r="T138" s="100"/>
      <c r="U138" s="100"/>
      <c r="V138" s="100"/>
      <c r="W138" s="100"/>
      <c r="X138" s="236"/>
      <c r="Y138" s="236"/>
      <c r="Z138" s="236"/>
      <c r="AA138" s="236"/>
      <c r="AB138" s="236"/>
      <c r="AC138" s="164" t="s">
        <v>553</v>
      </c>
      <c r="AD138" s="162">
        <v>0</v>
      </c>
      <c r="AE138" s="72"/>
      <c r="AF138" s="72">
        <v>0</v>
      </c>
      <c r="AG138" s="72"/>
    </row>
    <row r="139" spans="1:33" ht="20.100000000000001" hidden="1" customHeight="1">
      <c r="A139" s="72">
        <v>136</v>
      </c>
      <c r="B139" s="72">
        <v>120998</v>
      </c>
      <c r="C139" s="72" t="s">
        <v>222</v>
      </c>
      <c r="D139" s="72" t="s">
        <v>27</v>
      </c>
      <c r="E139" s="169" t="s">
        <v>223</v>
      </c>
      <c r="F139" s="167">
        <v>12000</v>
      </c>
      <c r="G139" s="100"/>
      <c r="H139" s="100">
        <f t="shared" si="24"/>
        <v>50</v>
      </c>
      <c r="I139" s="100">
        <f t="shared" si="25"/>
        <v>75</v>
      </c>
      <c r="J139" s="100">
        <f t="shared" si="26"/>
        <v>100</v>
      </c>
      <c r="K139" s="100">
        <f t="shared" si="27"/>
        <v>150</v>
      </c>
      <c r="L139" s="231" t="s">
        <v>549</v>
      </c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236"/>
      <c r="Y139" s="236"/>
      <c r="Z139" s="236"/>
      <c r="AA139" s="236"/>
      <c r="AB139" s="236"/>
      <c r="AC139" s="164" t="s">
        <v>553</v>
      </c>
      <c r="AD139" s="162">
        <f>ROUND(F139*0.05,0)</f>
        <v>600</v>
      </c>
      <c r="AE139" s="72"/>
      <c r="AF139" s="72">
        <f>ROUND(F139*0.0025,0)</f>
        <v>30</v>
      </c>
      <c r="AG139" s="72"/>
    </row>
    <row r="140" spans="1:33" ht="20.100000000000001" hidden="1" customHeight="1">
      <c r="A140" s="72">
        <v>137</v>
      </c>
      <c r="B140" s="72">
        <v>120007</v>
      </c>
      <c r="C140" s="72" t="s">
        <v>224</v>
      </c>
      <c r="D140" s="72" t="s">
        <v>27</v>
      </c>
      <c r="E140" s="169" t="s">
        <v>223</v>
      </c>
      <c r="F140" s="167">
        <v>12000</v>
      </c>
      <c r="G140" s="100"/>
      <c r="H140" s="100">
        <f t="shared" si="24"/>
        <v>50</v>
      </c>
      <c r="I140" s="100">
        <f t="shared" si="25"/>
        <v>75</v>
      </c>
      <c r="J140" s="100">
        <f t="shared" si="26"/>
        <v>100</v>
      </c>
      <c r="K140" s="100">
        <f t="shared" si="27"/>
        <v>150</v>
      </c>
      <c r="L140" s="231" t="s">
        <v>549</v>
      </c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236"/>
      <c r="Y140" s="236"/>
      <c r="Z140" s="236"/>
      <c r="AA140" s="236"/>
      <c r="AB140" s="236"/>
      <c r="AC140" s="164" t="s">
        <v>553</v>
      </c>
      <c r="AD140" s="162">
        <f>ROUND(F140*0.05,0)</f>
        <v>600</v>
      </c>
      <c r="AE140" s="72"/>
      <c r="AF140" s="72">
        <f>ROUND(F140*0.0025,0)</f>
        <v>30</v>
      </c>
      <c r="AG140" s="72"/>
    </row>
    <row r="141" spans="1:33" ht="20.100000000000001" hidden="1" customHeight="1">
      <c r="A141" s="72">
        <v>138</v>
      </c>
      <c r="B141" s="72">
        <v>120919</v>
      </c>
      <c r="C141" s="72" t="s">
        <v>225</v>
      </c>
      <c r="D141" s="72" t="s">
        <v>27</v>
      </c>
      <c r="E141" s="169" t="s">
        <v>226</v>
      </c>
      <c r="F141" s="167">
        <v>12000</v>
      </c>
      <c r="G141" s="100"/>
      <c r="H141" s="100">
        <f t="shared" si="24"/>
        <v>50</v>
      </c>
      <c r="I141" s="100">
        <f t="shared" si="25"/>
        <v>75</v>
      </c>
      <c r="J141" s="100">
        <f t="shared" si="26"/>
        <v>100</v>
      </c>
      <c r="K141" s="100">
        <f t="shared" si="27"/>
        <v>150</v>
      </c>
      <c r="L141" s="100">
        <v>1000</v>
      </c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236"/>
      <c r="Y141" s="236"/>
      <c r="Z141" s="236"/>
      <c r="AA141" s="236"/>
      <c r="AB141" s="236"/>
      <c r="AC141" s="164" t="s">
        <v>553</v>
      </c>
      <c r="AD141" s="162">
        <v>0</v>
      </c>
      <c r="AE141" s="72"/>
      <c r="AF141" s="72">
        <v>0</v>
      </c>
      <c r="AG141" s="72"/>
    </row>
    <row r="142" spans="1:33" ht="20.100000000000001" hidden="1" customHeight="1">
      <c r="A142" s="72">
        <v>139</v>
      </c>
      <c r="B142" s="72">
        <v>120148</v>
      </c>
      <c r="C142" s="72" t="s">
        <v>227</v>
      </c>
      <c r="D142" s="72" t="s">
        <v>27</v>
      </c>
      <c r="E142" s="169" t="s">
        <v>226</v>
      </c>
      <c r="F142" s="167">
        <v>12000</v>
      </c>
      <c r="G142" s="100"/>
      <c r="H142" s="100">
        <f>ROUND($F142/30/8*1,2)</f>
        <v>50</v>
      </c>
      <c r="I142" s="100">
        <f t="shared" si="25"/>
        <v>75</v>
      </c>
      <c r="J142" s="100">
        <f t="shared" si="26"/>
        <v>100</v>
      </c>
      <c r="K142" s="100">
        <f t="shared" si="27"/>
        <v>150</v>
      </c>
      <c r="L142" s="100">
        <v>1000</v>
      </c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236"/>
      <c r="Y142" s="236"/>
      <c r="Z142" s="236"/>
      <c r="AA142" s="236"/>
      <c r="AB142" s="236"/>
      <c r="AC142" s="164" t="s">
        <v>553</v>
      </c>
      <c r="AD142" s="162">
        <v>0</v>
      </c>
      <c r="AE142" s="72"/>
      <c r="AF142" s="72">
        <v>0</v>
      </c>
      <c r="AG142" s="72"/>
    </row>
    <row r="143" spans="1:33" ht="20.100000000000001" hidden="1" customHeight="1">
      <c r="A143" s="72">
        <v>140</v>
      </c>
      <c r="B143" s="72">
        <v>120436</v>
      </c>
      <c r="C143" s="72" t="s">
        <v>408</v>
      </c>
      <c r="D143" s="72" t="s">
        <v>27</v>
      </c>
      <c r="E143" s="169" t="s">
        <v>228</v>
      </c>
      <c r="F143" s="167">
        <v>12000</v>
      </c>
      <c r="G143" s="100"/>
      <c r="H143" s="100">
        <f t="shared" si="24"/>
        <v>50</v>
      </c>
      <c r="I143" s="100">
        <f t="shared" si="25"/>
        <v>75</v>
      </c>
      <c r="J143" s="100">
        <f t="shared" si="26"/>
        <v>100</v>
      </c>
      <c r="K143" s="100">
        <f t="shared" si="27"/>
        <v>150</v>
      </c>
      <c r="L143" s="231" t="s">
        <v>561</v>
      </c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236"/>
      <c r="Y143" s="236"/>
      <c r="Z143" s="236"/>
      <c r="AA143" s="236"/>
      <c r="AB143" s="236"/>
      <c r="AC143" s="164" t="s">
        <v>553</v>
      </c>
      <c r="AD143" s="162">
        <v>0</v>
      </c>
      <c r="AE143" s="72"/>
      <c r="AF143" s="72">
        <v>0</v>
      </c>
      <c r="AG143" s="72"/>
    </row>
    <row r="144" spans="1:33" ht="20.100000000000001" hidden="1" customHeight="1">
      <c r="A144" s="72">
        <v>141</v>
      </c>
      <c r="B144" s="72">
        <v>120978</v>
      </c>
      <c r="C144" s="72" t="s">
        <v>229</v>
      </c>
      <c r="D144" s="72" t="s">
        <v>27</v>
      </c>
      <c r="E144" s="169" t="s">
        <v>228</v>
      </c>
      <c r="F144" s="167">
        <v>12000</v>
      </c>
      <c r="G144" s="100"/>
      <c r="H144" s="100">
        <f t="shared" si="24"/>
        <v>50</v>
      </c>
      <c r="I144" s="100">
        <f t="shared" si="25"/>
        <v>75</v>
      </c>
      <c r="J144" s="100">
        <f t="shared" si="26"/>
        <v>100</v>
      </c>
      <c r="K144" s="100">
        <f t="shared" si="27"/>
        <v>150</v>
      </c>
      <c r="L144" s="231" t="s">
        <v>561</v>
      </c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236"/>
      <c r="Y144" s="236"/>
      <c r="Z144" s="236"/>
      <c r="AA144" s="236"/>
      <c r="AB144" s="236"/>
      <c r="AC144" s="164" t="s">
        <v>553</v>
      </c>
      <c r="AD144" s="162">
        <v>0</v>
      </c>
      <c r="AE144" s="72"/>
      <c r="AF144" s="72">
        <v>0</v>
      </c>
      <c r="AG144" s="72"/>
    </row>
    <row r="145" spans="1:33" ht="20.100000000000001" hidden="1" customHeight="1">
      <c r="A145" s="72">
        <v>142</v>
      </c>
      <c r="B145" s="72">
        <v>110898</v>
      </c>
      <c r="C145" s="72" t="s">
        <v>230</v>
      </c>
      <c r="D145" s="72" t="s">
        <v>65</v>
      </c>
      <c r="E145" s="169" t="s">
        <v>231</v>
      </c>
      <c r="F145" s="167">
        <v>12000</v>
      </c>
      <c r="G145" s="100"/>
      <c r="H145" s="100">
        <f t="shared" si="24"/>
        <v>50</v>
      </c>
      <c r="I145" s="100">
        <f t="shared" si="25"/>
        <v>75</v>
      </c>
      <c r="J145" s="100">
        <f t="shared" si="26"/>
        <v>100</v>
      </c>
      <c r="K145" s="100">
        <f t="shared" si="27"/>
        <v>150</v>
      </c>
      <c r="L145" s="231" t="s">
        <v>549</v>
      </c>
      <c r="M145" s="231"/>
      <c r="N145" s="231"/>
      <c r="O145" s="100">
        <v>500</v>
      </c>
      <c r="P145" s="100"/>
      <c r="Q145" s="100"/>
      <c r="R145" s="100"/>
      <c r="S145" s="100"/>
      <c r="T145" s="100"/>
      <c r="U145" s="100"/>
      <c r="V145" s="100"/>
      <c r="W145" s="100"/>
      <c r="X145" s="236"/>
      <c r="Y145" s="236"/>
      <c r="Z145" s="236"/>
      <c r="AA145" s="236"/>
      <c r="AB145" s="236"/>
      <c r="AC145" s="164" t="s">
        <v>553</v>
      </c>
      <c r="AD145" s="162">
        <f t="shared" ref="AD145:AD155" si="28">ROUND(F145*0.05,0)</f>
        <v>600</v>
      </c>
      <c r="AE145" s="72"/>
      <c r="AF145" s="72">
        <f t="shared" ref="AF145:AF155" si="29">ROUND(F145*0.0025,0)</f>
        <v>30</v>
      </c>
      <c r="AG145" s="72"/>
    </row>
    <row r="146" spans="1:33" ht="20.100000000000001" hidden="1" customHeight="1">
      <c r="A146" s="72">
        <v>143</v>
      </c>
      <c r="B146" s="72">
        <v>120102</v>
      </c>
      <c r="C146" s="72" t="s">
        <v>232</v>
      </c>
      <c r="D146" s="72" t="s">
        <v>27</v>
      </c>
      <c r="E146" s="169" t="s">
        <v>233</v>
      </c>
      <c r="F146" s="167">
        <v>12000</v>
      </c>
      <c r="G146" s="100"/>
      <c r="H146" s="100">
        <f t="shared" si="24"/>
        <v>50</v>
      </c>
      <c r="I146" s="100">
        <f t="shared" si="25"/>
        <v>75</v>
      </c>
      <c r="J146" s="100">
        <f t="shared" si="26"/>
        <v>100</v>
      </c>
      <c r="K146" s="100">
        <f t="shared" si="27"/>
        <v>150</v>
      </c>
      <c r="L146" s="231" t="s">
        <v>549</v>
      </c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236"/>
      <c r="Y146" s="236"/>
      <c r="Z146" s="236"/>
      <c r="AA146" s="236"/>
      <c r="AB146" s="236"/>
      <c r="AC146" s="164" t="s">
        <v>553</v>
      </c>
      <c r="AD146" s="162">
        <f t="shared" si="28"/>
        <v>600</v>
      </c>
      <c r="AE146" s="72"/>
      <c r="AF146" s="72">
        <f t="shared" si="29"/>
        <v>30</v>
      </c>
      <c r="AG146" s="72"/>
    </row>
    <row r="147" spans="1:33" ht="20.100000000000001" hidden="1" customHeight="1">
      <c r="A147" s="72">
        <v>144</v>
      </c>
      <c r="B147" s="72">
        <v>120962</v>
      </c>
      <c r="C147" s="72" t="s">
        <v>234</v>
      </c>
      <c r="D147" s="72" t="s">
        <v>27</v>
      </c>
      <c r="E147" s="169" t="s">
        <v>235</v>
      </c>
      <c r="F147" s="167">
        <v>12000</v>
      </c>
      <c r="G147" s="100"/>
      <c r="H147" s="100">
        <f t="shared" si="24"/>
        <v>50</v>
      </c>
      <c r="I147" s="100">
        <f t="shared" si="25"/>
        <v>75</v>
      </c>
      <c r="J147" s="100">
        <f t="shared" si="26"/>
        <v>100</v>
      </c>
      <c r="K147" s="100">
        <f t="shared" si="27"/>
        <v>150</v>
      </c>
      <c r="L147" s="100">
        <v>1000</v>
      </c>
      <c r="M147" s="100"/>
      <c r="N147" s="100"/>
      <c r="O147" s="100"/>
      <c r="P147" s="100"/>
      <c r="Q147" s="100">
        <v>500</v>
      </c>
      <c r="R147" s="100"/>
      <c r="S147" s="100"/>
      <c r="T147" s="100"/>
      <c r="U147" s="100"/>
      <c r="V147" s="100"/>
      <c r="W147" s="100"/>
      <c r="X147" s="236"/>
      <c r="Y147" s="236"/>
      <c r="Z147" s="236"/>
      <c r="AA147" s="236"/>
      <c r="AB147" s="236"/>
      <c r="AC147" s="164" t="s">
        <v>553</v>
      </c>
      <c r="AD147" s="162">
        <f t="shared" si="28"/>
        <v>600</v>
      </c>
      <c r="AE147" s="72"/>
      <c r="AF147" s="72">
        <f t="shared" si="29"/>
        <v>30</v>
      </c>
      <c r="AG147" s="72"/>
    </row>
    <row r="148" spans="1:33" ht="20.100000000000001" hidden="1" customHeight="1">
      <c r="A148" s="72">
        <v>145</v>
      </c>
      <c r="B148" s="72">
        <v>120847</v>
      </c>
      <c r="C148" s="72" t="s">
        <v>236</v>
      </c>
      <c r="D148" s="72" t="s">
        <v>27</v>
      </c>
      <c r="E148" s="169" t="s">
        <v>237</v>
      </c>
      <c r="F148" s="167">
        <v>12000</v>
      </c>
      <c r="G148" s="100"/>
      <c r="H148" s="100">
        <f t="shared" si="24"/>
        <v>50</v>
      </c>
      <c r="I148" s="100">
        <f t="shared" si="25"/>
        <v>75</v>
      </c>
      <c r="J148" s="100">
        <f t="shared" si="26"/>
        <v>100</v>
      </c>
      <c r="K148" s="100">
        <f t="shared" si="27"/>
        <v>150</v>
      </c>
      <c r="L148" s="231" t="s">
        <v>549</v>
      </c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236"/>
      <c r="Y148" s="236"/>
      <c r="Z148" s="236"/>
      <c r="AA148" s="236"/>
      <c r="AB148" s="236"/>
      <c r="AC148" s="164" t="s">
        <v>553</v>
      </c>
      <c r="AD148" s="162">
        <f t="shared" si="28"/>
        <v>600</v>
      </c>
      <c r="AE148" s="72"/>
      <c r="AF148" s="72">
        <f t="shared" si="29"/>
        <v>30</v>
      </c>
      <c r="AG148" s="72"/>
    </row>
    <row r="149" spans="1:33" ht="20.100000000000001" hidden="1" customHeight="1">
      <c r="A149" s="72">
        <v>146</v>
      </c>
      <c r="B149" s="72">
        <v>120910</v>
      </c>
      <c r="C149" s="72" t="s">
        <v>238</v>
      </c>
      <c r="D149" s="72" t="s">
        <v>27</v>
      </c>
      <c r="E149" s="169" t="s">
        <v>239</v>
      </c>
      <c r="F149" s="167">
        <v>12000</v>
      </c>
      <c r="G149" s="100"/>
      <c r="H149" s="100">
        <f t="shared" si="24"/>
        <v>50</v>
      </c>
      <c r="I149" s="100">
        <f t="shared" si="25"/>
        <v>75</v>
      </c>
      <c r="J149" s="100">
        <f t="shared" si="26"/>
        <v>100</v>
      </c>
      <c r="K149" s="100">
        <f t="shared" si="27"/>
        <v>150</v>
      </c>
      <c r="L149" s="231" t="s">
        <v>549</v>
      </c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236"/>
      <c r="Y149" s="236"/>
      <c r="Z149" s="236"/>
      <c r="AA149" s="236"/>
      <c r="AB149" s="236"/>
      <c r="AC149" s="164" t="s">
        <v>553</v>
      </c>
      <c r="AD149" s="162">
        <f t="shared" si="28"/>
        <v>600</v>
      </c>
      <c r="AE149" s="72"/>
      <c r="AF149" s="72">
        <f t="shared" si="29"/>
        <v>30</v>
      </c>
      <c r="AG149" s="72"/>
    </row>
    <row r="150" spans="1:33" ht="20.100000000000001" hidden="1" customHeight="1">
      <c r="A150" s="72">
        <v>147</v>
      </c>
      <c r="B150" s="72">
        <v>120950</v>
      </c>
      <c r="C150" s="72" t="s">
        <v>240</v>
      </c>
      <c r="D150" s="72" t="s">
        <v>27</v>
      </c>
      <c r="E150" s="169" t="s">
        <v>241</v>
      </c>
      <c r="F150" s="167">
        <v>12000</v>
      </c>
      <c r="G150" s="100"/>
      <c r="H150" s="100">
        <f t="shared" si="24"/>
        <v>50</v>
      </c>
      <c r="I150" s="100">
        <f t="shared" si="25"/>
        <v>75</v>
      </c>
      <c r="J150" s="100">
        <f t="shared" si="26"/>
        <v>100</v>
      </c>
      <c r="K150" s="100">
        <f t="shared" si="27"/>
        <v>150</v>
      </c>
      <c r="L150" s="231" t="s">
        <v>561</v>
      </c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236"/>
      <c r="Y150" s="236"/>
      <c r="Z150" s="236"/>
      <c r="AA150" s="236"/>
      <c r="AB150" s="236"/>
      <c r="AC150" s="164" t="s">
        <v>553</v>
      </c>
      <c r="AD150" s="162">
        <f t="shared" si="28"/>
        <v>600</v>
      </c>
      <c r="AE150" s="72"/>
      <c r="AF150" s="72">
        <f t="shared" si="29"/>
        <v>30</v>
      </c>
      <c r="AG150" s="72"/>
    </row>
    <row r="151" spans="1:33" ht="20.100000000000001" hidden="1" customHeight="1">
      <c r="A151" s="72">
        <v>148</v>
      </c>
      <c r="B151" s="72">
        <v>120853</v>
      </c>
      <c r="C151" s="72" t="s">
        <v>242</v>
      </c>
      <c r="D151" s="72" t="s">
        <v>27</v>
      </c>
      <c r="E151" s="169" t="s">
        <v>243</v>
      </c>
      <c r="F151" s="167">
        <v>12000</v>
      </c>
      <c r="G151" s="100"/>
      <c r="H151" s="100">
        <f t="shared" si="24"/>
        <v>50</v>
      </c>
      <c r="I151" s="100">
        <f t="shared" si="25"/>
        <v>75</v>
      </c>
      <c r="J151" s="100">
        <f t="shared" si="26"/>
        <v>100</v>
      </c>
      <c r="K151" s="100">
        <f t="shared" si="27"/>
        <v>150</v>
      </c>
      <c r="L151" s="231" t="s">
        <v>561</v>
      </c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236"/>
      <c r="Y151" s="236"/>
      <c r="Z151" s="236"/>
      <c r="AA151" s="236"/>
      <c r="AB151" s="236"/>
      <c r="AC151" s="164" t="s">
        <v>553</v>
      </c>
      <c r="AD151" s="162">
        <f t="shared" si="28"/>
        <v>600</v>
      </c>
      <c r="AE151" s="72"/>
      <c r="AF151" s="72">
        <f t="shared" si="29"/>
        <v>30</v>
      </c>
      <c r="AG151" s="72"/>
    </row>
    <row r="152" spans="1:33" ht="20.100000000000001" hidden="1" customHeight="1">
      <c r="A152" s="72">
        <v>149</v>
      </c>
      <c r="B152" s="72">
        <v>121091</v>
      </c>
      <c r="C152" s="72" t="s">
        <v>244</v>
      </c>
      <c r="D152" s="72" t="s">
        <v>27</v>
      </c>
      <c r="E152" s="169" t="s">
        <v>395</v>
      </c>
      <c r="F152" s="167">
        <v>12000</v>
      </c>
      <c r="G152" s="100"/>
      <c r="H152" s="100">
        <f t="shared" si="24"/>
        <v>50</v>
      </c>
      <c r="I152" s="100">
        <f t="shared" si="25"/>
        <v>75</v>
      </c>
      <c r="J152" s="100">
        <f t="shared" si="26"/>
        <v>100</v>
      </c>
      <c r="K152" s="100">
        <f t="shared" si="27"/>
        <v>150</v>
      </c>
      <c r="L152" s="231" t="s">
        <v>561</v>
      </c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236"/>
      <c r="Y152" s="236"/>
      <c r="Z152" s="236"/>
      <c r="AA152" s="236"/>
      <c r="AB152" s="236"/>
      <c r="AC152" s="164" t="s">
        <v>553</v>
      </c>
      <c r="AD152" s="162">
        <f t="shared" si="28"/>
        <v>600</v>
      </c>
      <c r="AE152" s="72"/>
      <c r="AF152" s="72">
        <f t="shared" si="29"/>
        <v>30</v>
      </c>
      <c r="AG152" s="72"/>
    </row>
    <row r="153" spans="1:33" ht="20.100000000000001" hidden="1" customHeight="1">
      <c r="A153" s="72">
        <v>150</v>
      </c>
      <c r="B153" s="72">
        <v>121021</v>
      </c>
      <c r="C153" s="72" t="s">
        <v>246</v>
      </c>
      <c r="D153" s="72" t="s">
        <v>27</v>
      </c>
      <c r="E153" s="172" t="s">
        <v>247</v>
      </c>
      <c r="F153" s="167">
        <v>12000</v>
      </c>
      <c r="G153" s="100"/>
      <c r="H153" s="100">
        <f t="shared" si="24"/>
        <v>50</v>
      </c>
      <c r="I153" s="100">
        <f t="shared" si="25"/>
        <v>75</v>
      </c>
      <c r="J153" s="100">
        <f t="shared" si="26"/>
        <v>100</v>
      </c>
      <c r="K153" s="100">
        <f t="shared" si="27"/>
        <v>150</v>
      </c>
      <c r="L153" s="100">
        <v>1000</v>
      </c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236"/>
      <c r="Y153" s="236"/>
      <c r="Z153" s="236"/>
      <c r="AA153" s="236"/>
      <c r="AB153" s="236"/>
      <c r="AC153" s="164" t="s">
        <v>553</v>
      </c>
      <c r="AD153" s="162">
        <f t="shared" si="28"/>
        <v>600</v>
      </c>
      <c r="AE153" s="72"/>
      <c r="AF153" s="72">
        <f t="shared" si="29"/>
        <v>30</v>
      </c>
      <c r="AG153" s="72"/>
    </row>
    <row r="154" spans="1:33" ht="20.100000000000001" hidden="1" customHeight="1">
      <c r="A154" s="72">
        <v>151</v>
      </c>
      <c r="B154" s="72">
        <v>120812</v>
      </c>
      <c r="C154" s="72" t="s">
        <v>248</v>
      </c>
      <c r="D154" s="72" t="s">
        <v>27</v>
      </c>
      <c r="E154" s="169" t="s">
        <v>249</v>
      </c>
      <c r="F154" s="167">
        <v>12000</v>
      </c>
      <c r="G154" s="100"/>
      <c r="H154" s="100">
        <f t="shared" si="24"/>
        <v>50</v>
      </c>
      <c r="I154" s="100">
        <f t="shared" si="25"/>
        <v>75</v>
      </c>
      <c r="J154" s="100">
        <f t="shared" si="26"/>
        <v>100</v>
      </c>
      <c r="K154" s="100">
        <f t="shared" si="27"/>
        <v>150</v>
      </c>
      <c r="L154" s="231" t="s">
        <v>561</v>
      </c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236"/>
      <c r="Y154" s="236"/>
      <c r="Z154" s="236"/>
      <c r="AA154" s="236"/>
      <c r="AB154" s="236"/>
      <c r="AC154" s="164" t="s">
        <v>553</v>
      </c>
      <c r="AD154" s="162">
        <f t="shared" si="28"/>
        <v>600</v>
      </c>
      <c r="AE154" s="72"/>
      <c r="AF154" s="72">
        <f t="shared" si="29"/>
        <v>30</v>
      </c>
      <c r="AG154" s="72"/>
    </row>
    <row r="155" spans="1:33" ht="20.100000000000001" hidden="1" customHeight="1">
      <c r="A155" s="72">
        <v>152</v>
      </c>
      <c r="B155" s="72">
        <v>120928</v>
      </c>
      <c r="C155" s="72" t="s">
        <v>250</v>
      </c>
      <c r="D155" s="72" t="s">
        <v>27</v>
      </c>
      <c r="E155" s="169" t="s">
        <v>251</v>
      </c>
      <c r="F155" s="167">
        <v>12000</v>
      </c>
      <c r="G155" s="100"/>
      <c r="H155" s="100">
        <f t="shared" si="24"/>
        <v>50</v>
      </c>
      <c r="I155" s="100">
        <f t="shared" si="25"/>
        <v>75</v>
      </c>
      <c r="J155" s="100">
        <f t="shared" si="26"/>
        <v>100</v>
      </c>
      <c r="K155" s="100">
        <f t="shared" si="27"/>
        <v>150</v>
      </c>
      <c r="L155" s="231" t="s">
        <v>561</v>
      </c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236"/>
      <c r="Y155" s="236"/>
      <c r="Z155" s="236"/>
      <c r="AA155" s="236"/>
      <c r="AB155" s="236"/>
      <c r="AC155" s="164" t="s">
        <v>553</v>
      </c>
      <c r="AD155" s="162">
        <f t="shared" si="28"/>
        <v>600</v>
      </c>
      <c r="AE155" s="72"/>
      <c r="AF155" s="72">
        <f t="shared" si="29"/>
        <v>30</v>
      </c>
      <c r="AG155" s="72"/>
    </row>
    <row r="156" spans="1:33" ht="20.100000000000001" customHeight="1">
      <c r="E156" s="87"/>
    </row>
    <row r="157" spans="1:33" ht="20.100000000000001" customHeight="1">
      <c r="E157" s="87"/>
    </row>
  </sheetData>
  <autoFilter ref="A2:AG155" xr:uid="{0BB9E030-4E48-411D-826E-0BD3BBCAD76D}">
    <filterColumn colId="3">
      <filters>
        <filter val="หัวหน้างาน"/>
        <filter val="หัวหน้าแม่บ้าน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9" showButton="0"/>
    <filterColumn colId="30" showButton="0"/>
    <filterColumn colId="31" showButton="0"/>
  </autoFilter>
  <mergeCells count="2">
    <mergeCell ref="F2:X2"/>
    <mergeCell ref="AD2:AG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1BE0-2D9F-4E09-887E-45661F23EBC3}">
  <dimension ref="A1:AH34"/>
  <sheetViews>
    <sheetView topLeftCell="A4" zoomScaleNormal="100" workbookViewId="0">
      <selection activeCell="M25" sqref="M25"/>
    </sheetView>
  </sheetViews>
  <sheetFormatPr defaultRowHeight="23.25"/>
  <cols>
    <col min="1" max="1" width="8.85546875" style="50" customWidth="1"/>
    <col min="2" max="2" width="10.5703125" style="50" customWidth="1"/>
    <col min="3" max="3" width="6.7109375" style="87" customWidth="1"/>
    <col min="4" max="4" width="6.7109375" style="99" customWidth="1"/>
    <col min="5" max="6" width="6.7109375" style="87" customWidth="1"/>
    <col min="7" max="7" width="6.7109375" style="182" customWidth="1"/>
    <col min="8" max="10" width="6.7109375" style="87" customWidth="1"/>
    <col min="11" max="33" width="6.7109375" style="50" customWidth="1"/>
    <col min="34" max="16384" width="9.140625" style="50"/>
  </cols>
  <sheetData>
    <row r="1" spans="1:34" ht="18" customHeight="1">
      <c r="A1" s="50" t="s">
        <v>508</v>
      </c>
      <c r="C1" s="50"/>
      <c r="D1" s="50"/>
      <c r="E1" s="50"/>
      <c r="F1" s="50"/>
      <c r="G1" s="50"/>
      <c r="H1" s="50"/>
      <c r="J1" s="175"/>
    </row>
    <row r="2" spans="1:34" ht="18" customHeight="1">
      <c r="A2" s="60"/>
      <c r="B2" s="50" t="s">
        <v>509</v>
      </c>
      <c r="D2" s="60"/>
      <c r="E2" s="60"/>
      <c r="F2" s="60"/>
      <c r="G2" s="60"/>
      <c r="H2" s="60"/>
      <c r="I2" s="175"/>
      <c r="J2" s="17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</row>
    <row r="3" spans="1:34">
      <c r="A3" s="176" t="s">
        <v>510</v>
      </c>
      <c r="B3" s="176"/>
      <c r="C3" s="176"/>
      <c r="D3" s="176"/>
      <c r="E3" s="176"/>
      <c r="F3" s="176"/>
      <c r="G3" s="176"/>
      <c r="H3" s="176"/>
      <c r="I3" s="176"/>
      <c r="J3" s="176"/>
    </row>
    <row r="4" spans="1:34">
      <c r="A4" s="175" t="s">
        <v>529</v>
      </c>
      <c r="B4" s="175"/>
      <c r="C4" s="175"/>
      <c r="D4" s="184"/>
      <c r="E4" s="175" t="s">
        <v>530</v>
      </c>
      <c r="F4" s="50"/>
      <c r="G4" s="175"/>
      <c r="H4" s="191"/>
      <c r="I4" s="175"/>
      <c r="J4" s="175"/>
      <c r="M4" s="175" t="s">
        <v>531</v>
      </c>
    </row>
    <row r="5" spans="1:34" ht="17.25" customHeight="1">
      <c r="A5" s="258"/>
      <c r="B5" s="256"/>
      <c r="C5" s="258" t="s">
        <v>525</v>
      </c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9" t="s">
        <v>517</v>
      </c>
    </row>
    <row r="6" spans="1:34" ht="17.25" customHeight="1">
      <c r="A6" s="258"/>
      <c r="B6" s="257"/>
      <c r="C6" s="173">
        <v>21</v>
      </c>
      <c r="D6" s="173">
        <v>22</v>
      </c>
      <c r="E6" s="173">
        <v>23</v>
      </c>
      <c r="F6" s="173">
        <v>24</v>
      </c>
      <c r="G6" s="173">
        <v>25</v>
      </c>
      <c r="H6" s="173">
        <v>26</v>
      </c>
      <c r="I6" s="173">
        <v>27</v>
      </c>
      <c r="J6" s="173">
        <v>28</v>
      </c>
      <c r="K6" s="173">
        <v>29</v>
      </c>
      <c r="L6" s="173">
        <v>30</v>
      </c>
      <c r="M6" s="194">
        <v>31</v>
      </c>
      <c r="N6" s="174">
        <v>1</v>
      </c>
      <c r="O6" s="173">
        <v>2</v>
      </c>
      <c r="P6" s="173">
        <v>3</v>
      </c>
      <c r="Q6" s="173">
        <v>4</v>
      </c>
      <c r="R6" s="173">
        <v>5</v>
      </c>
      <c r="S6" s="173">
        <v>6</v>
      </c>
      <c r="T6" s="173">
        <v>7</v>
      </c>
      <c r="U6" s="173">
        <v>8</v>
      </c>
      <c r="V6" s="173">
        <v>9</v>
      </c>
      <c r="W6" s="173">
        <v>10</v>
      </c>
      <c r="X6" s="173">
        <v>11</v>
      </c>
      <c r="Y6" s="173">
        <v>12</v>
      </c>
      <c r="Z6" s="173">
        <v>13</v>
      </c>
      <c r="AA6" s="173">
        <v>14</v>
      </c>
      <c r="AB6" s="173">
        <v>15</v>
      </c>
      <c r="AC6" s="173">
        <v>16</v>
      </c>
      <c r="AD6" s="173">
        <v>17</v>
      </c>
      <c r="AE6" s="173">
        <v>18</v>
      </c>
      <c r="AF6" s="173">
        <v>19</v>
      </c>
      <c r="AG6" s="173">
        <v>20</v>
      </c>
      <c r="AH6" s="259"/>
    </row>
    <row r="7" spans="1:34" ht="22.5" customHeight="1">
      <c r="A7" s="260" t="s">
        <v>515</v>
      </c>
      <c r="B7" s="188" t="s">
        <v>512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95"/>
      <c r="N7" s="192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67"/>
    </row>
    <row r="8" spans="1:34" ht="22.5" customHeight="1" thickBot="1">
      <c r="A8" s="255"/>
      <c r="B8" s="203" t="s">
        <v>513</v>
      </c>
      <c r="C8" s="204"/>
      <c r="D8" s="203"/>
      <c r="E8" s="205"/>
      <c r="F8" s="205"/>
      <c r="G8" s="205"/>
      <c r="H8" s="205"/>
      <c r="I8" s="205"/>
      <c r="J8" s="205"/>
      <c r="K8" s="205"/>
      <c r="L8" s="205"/>
      <c r="M8" s="206"/>
      <c r="N8" s="207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8"/>
    </row>
    <row r="9" spans="1:34" ht="22.5" customHeight="1">
      <c r="A9" s="254" t="s">
        <v>516</v>
      </c>
      <c r="B9" s="209" t="s">
        <v>512</v>
      </c>
      <c r="C9" s="210"/>
      <c r="D9" s="209"/>
      <c r="E9" s="211"/>
      <c r="F9" s="211"/>
      <c r="G9" s="211"/>
      <c r="H9" s="211"/>
      <c r="I9" s="211"/>
      <c r="J9" s="211"/>
      <c r="K9" s="211"/>
      <c r="L9" s="211"/>
      <c r="M9" s="212"/>
      <c r="N9" s="213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4"/>
    </row>
    <row r="10" spans="1:34" ht="22.5" customHeight="1" thickBot="1">
      <c r="A10" s="255"/>
      <c r="B10" s="203" t="s">
        <v>513</v>
      </c>
      <c r="C10" s="204"/>
      <c r="D10" s="203"/>
      <c r="E10" s="205"/>
      <c r="F10" s="205"/>
      <c r="G10" s="205"/>
      <c r="H10" s="205"/>
      <c r="I10" s="205"/>
      <c r="J10" s="205"/>
      <c r="K10" s="205"/>
      <c r="L10" s="205"/>
      <c r="M10" s="206"/>
      <c r="N10" s="207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8"/>
    </row>
    <row r="11" spans="1:34" ht="22.5" customHeight="1">
      <c r="A11" s="250" t="s">
        <v>521</v>
      </c>
      <c r="B11" s="251"/>
      <c r="C11" s="198"/>
      <c r="D11" s="197"/>
      <c r="E11" s="199"/>
      <c r="F11" s="199"/>
      <c r="G11" s="199"/>
      <c r="H11" s="199"/>
      <c r="I11" s="199"/>
      <c r="J11" s="199"/>
      <c r="K11" s="199"/>
      <c r="L11" s="199"/>
      <c r="M11" s="200"/>
      <c r="N11" s="201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202"/>
    </row>
    <row r="12" spans="1:34" ht="22.5" customHeight="1">
      <c r="A12" s="252" t="s">
        <v>522</v>
      </c>
      <c r="B12" s="253"/>
      <c r="C12" s="189"/>
      <c r="D12" s="188"/>
      <c r="E12" s="190"/>
      <c r="F12" s="190"/>
      <c r="G12" s="190"/>
      <c r="H12" s="190"/>
      <c r="I12" s="190"/>
      <c r="J12" s="190"/>
      <c r="K12" s="190"/>
      <c r="L12" s="190"/>
      <c r="M12" s="196"/>
      <c r="N12" s="193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67"/>
    </row>
    <row r="13" spans="1:34" ht="22.5" customHeight="1">
      <c r="A13" s="252" t="s">
        <v>523</v>
      </c>
      <c r="B13" s="253"/>
      <c r="C13" s="189"/>
      <c r="D13" s="188"/>
      <c r="E13" s="190"/>
      <c r="F13" s="190"/>
      <c r="G13" s="190"/>
      <c r="H13" s="190"/>
      <c r="I13" s="190"/>
      <c r="J13" s="190"/>
      <c r="K13" s="190"/>
      <c r="L13" s="190"/>
      <c r="M13" s="196"/>
      <c r="N13" s="193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67"/>
    </row>
    <row r="14" spans="1:34" ht="22.5" customHeight="1">
      <c r="A14" s="252" t="s">
        <v>524</v>
      </c>
      <c r="B14" s="253"/>
      <c r="C14" s="189"/>
      <c r="D14" s="188"/>
      <c r="E14" s="190"/>
      <c r="F14" s="190"/>
      <c r="G14" s="190"/>
      <c r="H14" s="190"/>
      <c r="I14" s="190"/>
      <c r="J14" s="190"/>
      <c r="K14" s="190"/>
      <c r="L14" s="190"/>
      <c r="M14" s="196"/>
      <c r="N14" s="193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67"/>
    </row>
    <row r="15" spans="1:34" ht="19.5" customHeight="1">
      <c r="A15" s="216"/>
      <c r="B15" s="216"/>
      <c r="C15" s="217"/>
      <c r="D15" s="216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</row>
    <row r="16" spans="1:34">
      <c r="A16" s="227" t="s">
        <v>527</v>
      </c>
      <c r="B16" s="177"/>
      <c r="C16" s="177"/>
      <c r="D16" s="177"/>
      <c r="E16" s="178"/>
      <c r="F16" s="178"/>
      <c r="G16" s="179"/>
      <c r="H16" s="179"/>
      <c r="I16" s="178"/>
      <c r="J16" s="178"/>
      <c r="S16" s="226" t="s">
        <v>526</v>
      </c>
    </row>
    <row r="17" spans="1:28">
      <c r="A17" s="52" t="s">
        <v>362</v>
      </c>
      <c r="B17" s="183"/>
      <c r="C17" s="223"/>
      <c r="D17" s="50"/>
      <c r="E17" s="50"/>
      <c r="F17" s="50"/>
      <c r="G17" s="222" t="s">
        <v>504</v>
      </c>
      <c r="H17" s="219"/>
      <c r="I17" s="219"/>
      <c r="J17" s="50"/>
      <c r="T17" s="224" t="s">
        <v>502</v>
      </c>
      <c r="U17" s="180"/>
      <c r="V17" s="60"/>
      <c r="AB17" s="224"/>
    </row>
    <row r="18" spans="1:28">
      <c r="A18" s="50" t="s">
        <v>363</v>
      </c>
      <c r="B18" s="221"/>
      <c r="C18" s="221"/>
      <c r="D18" s="50"/>
      <c r="E18" s="50"/>
      <c r="F18" s="50"/>
      <c r="G18" s="222" t="s">
        <v>505</v>
      </c>
      <c r="H18" s="219"/>
      <c r="I18" s="219"/>
      <c r="J18" s="50"/>
      <c r="T18" s="224" t="s">
        <v>519</v>
      </c>
      <c r="U18" s="181"/>
      <c r="V18" s="60"/>
    </row>
    <row r="19" spans="1:28">
      <c r="A19" s="50" t="s">
        <v>298</v>
      </c>
      <c r="B19" s="221"/>
      <c r="C19" s="221"/>
      <c r="D19" s="50"/>
      <c r="E19" s="50"/>
      <c r="F19" s="50"/>
      <c r="G19" s="222" t="s">
        <v>506</v>
      </c>
      <c r="H19" s="219"/>
      <c r="I19" s="219"/>
      <c r="J19" s="50"/>
      <c r="T19" s="224" t="s">
        <v>520</v>
      </c>
      <c r="U19" s="181"/>
      <c r="V19" s="60"/>
    </row>
    <row r="20" spans="1:28">
      <c r="A20" s="50" t="s">
        <v>364</v>
      </c>
      <c r="B20" s="136"/>
      <c r="C20" s="225"/>
      <c r="D20" s="50"/>
      <c r="E20" s="50"/>
      <c r="F20" s="50"/>
      <c r="G20" s="222" t="s">
        <v>507</v>
      </c>
      <c r="H20" s="219"/>
      <c r="I20" s="219"/>
      <c r="J20" s="50"/>
      <c r="T20" s="224" t="s">
        <v>292</v>
      </c>
      <c r="U20" s="181"/>
      <c r="V20" s="60"/>
    </row>
    <row r="21" spans="1:28">
      <c r="A21" s="50" t="s">
        <v>299</v>
      </c>
      <c r="B21" s="181"/>
      <c r="C21" s="221"/>
      <c r="D21" s="50"/>
      <c r="E21" s="50"/>
      <c r="F21" s="50"/>
      <c r="G21" s="186"/>
      <c r="H21" s="50"/>
      <c r="I21" s="50"/>
      <c r="J21" s="50"/>
      <c r="T21" s="224" t="s">
        <v>292</v>
      </c>
      <c r="U21" s="181"/>
      <c r="V21" s="60"/>
    </row>
    <row r="22" spans="1:28">
      <c r="A22" s="50" t="s">
        <v>365</v>
      </c>
      <c r="B22" s="136"/>
      <c r="C22" s="136"/>
      <c r="D22" s="87"/>
      <c r="E22" s="50"/>
      <c r="F22" s="50"/>
      <c r="G22" s="186"/>
      <c r="J22" s="50"/>
      <c r="T22" s="224" t="s">
        <v>292</v>
      </c>
      <c r="U22" s="181"/>
      <c r="V22" s="60"/>
    </row>
    <row r="23" spans="1:28">
      <c r="A23" s="50" t="s">
        <v>366</v>
      </c>
      <c r="B23" s="136"/>
      <c r="C23" s="187"/>
      <c r="D23" s="87"/>
      <c r="E23" s="50"/>
      <c r="F23" s="50"/>
      <c r="G23" s="87"/>
      <c r="J23" s="50"/>
      <c r="T23" s="87"/>
      <c r="U23" s="182"/>
    </row>
    <row r="24" spans="1:28">
      <c r="A24" s="50" t="s">
        <v>518</v>
      </c>
      <c r="B24" s="136"/>
      <c r="C24" s="187"/>
      <c r="D24" s="87"/>
      <c r="E24" s="50"/>
      <c r="F24" s="50"/>
      <c r="G24" s="87"/>
      <c r="J24" s="50"/>
      <c r="T24" s="87"/>
      <c r="U24" s="215"/>
    </row>
    <row r="25" spans="1:28">
      <c r="A25" s="50" t="s">
        <v>368</v>
      </c>
      <c r="B25" s="136"/>
      <c r="C25" s="187"/>
      <c r="D25" s="87"/>
      <c r="E25" s="50"/>
      <c r="F25" s="50"/>
      <c r="G25" s="87"/>
      <c r="J25" s="50"/>
      <c r="T25" s="87"/>
      <c r="U25" s="182"/>
    </row>
    <row r="26" spans="1:28">
      <c r="A26" s="50" t="s">
        <v>372</v>
      </c>
      <c r="B26" s="136"/>
      <c r="C26" s="187"/>
      <c r="D26" s="87"/>
      <c r="F26" s="182"/>
      <c r="G26" s="87"/>
      <c r="J26" s="50"/>
    </row>
    <row r="27" spans="1:28">
      <c r="A27" s="50" t="s">
        <v>369</v>
      </c>
      <c r="B27" s="136"/>
      <c r="C27" s="187"/>
      <c r="D27" s="87"/>
      <c r="F27" s="182"/>
      <c r="G27" s="87"/>
      <c r="J27" s="50"/>
    </row>
    <row r="28" spans="1:28">
      <c r="A28" s="50" t="s">
        <v>370</v>
      </c>
      <c r="B28" s="136"/>
      <c r="C28" s="187"/>
      <c r="D28" s="50"/>
      <c r="E28" s="50"/>
      <c r="F28" s="182"/>
      <c r="G28" s="50"/>
      <c r="H28" s="50"/>
      <c r="I28" s="50"/>
      <c r="J28" s="50"/>
    </row>
    <row r="29" spans="1:28">
      <c r="A29" s="50" t="s">
        <v>371</v>
      </c>
      <c r="B29" s="136"/>
      <c r="C29" s="187"/>
      <c r="D29" s="50"/>
      <c r="E29" s="50"/>
      <c r="F29" s="182"/>
      <c r="G29" s="50"/>
      <c r="H29" s="50"/>
      <c r="I29" s="50"/>
      <c r="J29" s="50"/>
    </row>
    <row r="30" spans="1:28">
      <c r="B30" s="87"/>
      <c r="C30" s="220"/>
      <c r="D30" s="50"/>
      <c r="E30" s="50"/>
      <c r="F30" s="182"/>
      <c r="G30" s="50"/>
      <c r="H30" s="50"/>
      <c r="I30" s="50"/>
      <c r="J30" s="50"/>
    </row>
    <row r="31" spans="1:28">
      <c r="B31" s="87"/>
      <c r="C31" s="220"/>
      <c r="D31" s="50"/>
      <c r="E31" s="50"/>
      <c r="F31" s="182"/>
      <c r="G31" s="50"/>
      <c r="H31" s="50"/>
      <c r="I31" s="50"/>
      <c r="J31" s="50"/>
    </row>
    <row r="32" spans="1:28">
      <c r="B32" s="87"/>
      <c r="C32" s="220"/>
      <c r="D32" s="50"/>
      <c r="E32" s="50"/>
      <c r="F32" s="182"/>
      <c r="G32" s="50"/>
      <c r="H32" s="50"/>
      <c r="I32" s="50"/>
      <c r="J32" s="50"/>
    </row>
    <row r="33" spans="1:22" ht="24" thickBot="1">
      <c r="A33" s="50" t="s">
        <v>528</v>
      </c>
      <c r="B33" s="228"/>
      <c r="C33" s="228"/>
      <c r="D33" s="87"/>
      <c r="F33" s="182"/>
      <c r="G33" s="87"/>
      <c r="J33" s="50"/>
      <c r="T33" s="233" t="s">
        <v>528</v>
      </c>
      <c r="U33" s="228"/>
      <c r="V33" s="228"/>
    </row>
    <row r="34" spans="1:22" ht="24" thickTop="1"/>
  </sheetData>
  <mergeCells count="10">
    <mergeCell ref="B5:B6"/>
    <mergeCell ref="C5:AG5"/>
    <mergeCell ref="AH5:AH6"/>
    <mergeCell ref="A5:A6"/>
    <mergeCell ref="A7:A8"/>
    <mergeCell ref="A11:B11"/>
    <mergeCell ref="A12:B12"/>
    <mergeCell ref="A13:B13"/>
    <mergeCell ref="A14:B14"/>
    <mergeCell ref="A9:A10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0F70-B4C9-42A1-9F56-6F8969018A2F}">
  <dimension ref="A1:P24"/>
  <sheetViews>
    <sheetView zoomScaleNormal="100" workbookViewId="0">
      <selection activeCell="O17" sqref="O17"/>
    </sheetView>
  </sheetViews>
  <sheetFormatPr defaultColWidth="9" defaultRowHeight="23.25"/>
  <cols>
    <col min="1" max="1" width="22.7109375" style="50" customWidth="1"/>
    <col min="2" max="2" width="7.7109375" style="50" customWidth="1"/>
    <col min="3" max="3" width="3.7109375" style="50" customWidth="1"/>
    <col min="4" max="4" width="2.28515625" style="50" customWidth="1"/>
    <col min="5" max="5" width="9" style="50"/>
    <col min="6" max="6" width="13" style="50" customWidth="1"/>
    <col min="7" max="7" width="8.28515625" style="50" customWidth="1"/>
    <col min="8" max="8" width="7.85546875" style="50" customWidth="1"/>
    <col min="9" max="9" width="11.5703125" style="50" customWidth="1"/>
    <col min="10" max="10" width="7.42578125" style="50" customWidth="1"/>
    <col min="11" max="11" width="13.140625" style="50" customWidth="1"/>
    <col min="12" max="16384" width="9" style="50"/>
  </cols>
  <sheetData>
    <row r="1" spans="1:11">
      <c r="B1" s="51" t="s">
        <v>277</v>
      </c>
      <c r="C1" s="51"/>
      <c r="D1" s="51"/>
      <c r="E1" s="51"/>
      <c r="F1" s="51"/>
      <c r="G1" s="51"/>
      <c r="H1" s="51"/>
      <c r="I1" s="51"/>
      <c r="J1" s="52"/>
      <c r="K1" s="52"/>
    </row>
    <row r="2" spans="1:11">
      <c r="B2" s="52" t="s">
        <v>278</v>
      </c>
      <c r="C2" s="52"/>
      <c r="D2" s="52"/>
      <c r="E2" s="52"/>
      <c r="F2" s="52"/>
      <c r="G2" s="52"/>
      <c r="H2" s="52"/>
      <c r="I2" s="52"/>
      <c r="J2" s="52"/>
      <c r="K2" s="52"/>
    </row>
    <row r="3" spans="1:11" ht="20.25" customHeight="1">
      <c r="B3" s="52" t="s">
        <v>279</v>
      </c>
      <c r="C3" s="52"/>
      <c r="D3" s="52"/>
      <c r="E3" s="52"/>
      <c r="F3" s="52"/>
      <c r="G3" s="52"/>
      <c r="H3" s="52"/>
      <c r="I3" s="52"/>
      <c r="J3" s="52"/>
      <c r="K3" s="52"/>
    </row>
    <row r="4" spans="1:11" ht="20.25" customHeight="1"/>
    <row r="5" spans="1:11" ht="23.25" customHeight="1">
      <c r="A5" s="50" t="s">
        <v>514</v>
      </c>
      <c r="B5" s="65" t="s">
        <v>306</v>
      </c>
      <c r="F5" s="50" t="s">
        <v>311</v>
      </c>
      <c r="G5" s="264">
        <v>42905</v>
      </c>
      <c r="H5" s="264"/>
      <c r="I5" s="50" t="s">
        <v>280</v>
      </c>
      <c r="J5" s="53" t="s">
        <v>281</v>
      </c>
      <c r="K5" s="53"/>
    </row>
    <row r="6" spans="1:11" ht="17.25" customHeight="1">
      <c r="A6" s="50" t="s">
        <v>282</v>
      </c>
      <c r="B6" s="50" t="s">
        <v>283</v>
      </c>
      <c r="F6" s="50" t="s">
        <v>309</v>
      </c>
      <c r="H6" s="50" t="s">
        <v>310</v>
      </c>
    </row>
    <row r="7" spans="1:11" ht="17.25" customHeight="1">
      <c r="A7" s="50" t="s">
        <v>307</v>
      </c>
      <c r="B7" s="50" t="s">
        <v>308</v>
      </c>
    </row>
    <row r="8" spans="1:11" ht="23.25" customHeight="1">
      <c r="A8" s="261" t="s">
        <v>284</v>
      </c>
      <c r="B8" s="262"/>
      <c r="C8" s="262"/>
      <c r="D8" s="262"/>
      <c r="E8" s="262"/>
      <c r="F8" s="263"/>
      <c r="G8" s="261" t="s">
        <v>285</v>
      </c>
      <c r="H8" s="262"/>
      <c r="I8" s="262"/>
      <c r="J8" s="262"/>
      <c r="K8" s="263"/>
    </row>
    <row r="9" spans="1:11" ht="21.75" customHeight="1">
      <c r="A9" s="54" t="s">
        <v>286</v>
      </c>
      <c r="F9" s="55">
        <v>12000</v>
      </c>
      <c r="G9" s="54" t="s">
        <v>287</v>
      </c>
      <c r="K9" s="56"/>
    </row>
    <row r="10" spans="1:11" ht="21.75" customHeight="1">
      <c r="A10" s="54" t="s">
        <v>288</v>
      </c>
      <c r="C10" s="50" t="s">
        <v>7</v>
      </c>
      <c r="D10" s="53" t="s">
        <v>289</v>
      </c>
      <c r="E10" s="57">
        <v>400</v>
      </c>
      <c r="F10" s="55"/>
      <c r="G10" s="54" t="s">
        <v>290</v>
      </c>
      <c r="K10" s="55">
        <f>+F9*5%</f>
        <v>600</v>
      </c>
    </row>
    <row r="11" spans="1:11" ht="21.75" customHeight="1">
      <c r="A11" s="54" t="s">
        <v>291</v>
      </c>
      <c r="E11" s="58"/>
      <c r="F11" s="55">
        <v>930</v>
      </c>
      <c r="G11" s="54" t="s">
        <v>292</v>
      </c>
      <c r="K11" s="55"/>
    </row>
    <row r="12" spans="1:11" ht="21.75" customHeight="1">
      <c r="A12" s="54" t="s">
        <v>293</v>
      </c>
      <c r="C12" s="50" t="s">
        <v>294</v>
      </c>
      <c r="E12" s="58"/>
      <c r="F12" s="55">
        <f>+B12*75</f>
        <v>0</v>
      </c>
      <c r="G12" s="54" t="s">
        <v>292</v>
      </c>
      <c r="K12" s="55"/>
    </row>
    <row r="13" spans="1:11" ht="21.75" customHeight="1">
      <c r="A13" s="54" t="s">
        <v>295</v>
      </c>
      <c r="B13" s="50">
        <v>40.5</v>
      </c>
      <c r="C13" s="50" t="s">
        <v>294</v>
      </c>
      <c r="E13" s="58"/>
      <c r="F13" s="55">
        <f>+B13*75</f>
        <v>3037.5</v>
      </c>
      <c r="G13" s="54"/>
      <c r="K13" s="55"/>
    </row>
    <row r="14" spans="1:11" ht="21.75" customHeight="1">
      <c r="A14" s="54" t="s">
        <v>296</v>
      </c>
      <c r="E14" s="58"/>
      <c r="F14" s="55"/>
      <c r="G14" s="54"/>
      <c r="K14" s="55"/>
    </row>
    <row r="15" spans="1:11" ht="21.75" customHeight="1">
      <c r="A15" s="54" t="s">
        <v>297</v>
      </c>
      <c r="E15" s="58"/>
      <c r="F15" s="55"/>
      <c r="G15" s="54"/>
      <c r="K15" s="55"/>
    </row>
    <row r="16" spans="1:11" ht="21.75" customHeight="1">
      <c r="A16" s="54" t="s">
        <v>298</v>
      </c>
      <c r="E16" s="58"/>
      <c r="F16" s="55">
        <v>1000</v>
      </c>
      <c r="G16" s="54"/>
      <c r="K16" s="55"/>
    </row>
    <row r="17" spans="1:16" ht="21.75" customHeight="1">
      <c r="A17" s="54" t="s">
        <v>299</v>
      </c>
      <c r="E17" s="58"/>
      <c r="F17" s="55"/>
      <c r="G17" s="54"/>
      <c r="K17" s="55"/>
    </row>
    <row r="18" spans="1:16" ht="21.75" customHeight="1">
      <c r="A18" s="54" t="s">
        <v>300</v>
      </c>
      <c r="E18" s="58"/>
      <c r="F18" s="55"/>
      <c r="G18" s="54"/>
      <c r="K18" s="55"/>
    </row>
    <row r="19" spans="1:16" ht="21.75" customHeight="1">
      <c r="A19" s="54" t="s">
        <v>301</v>
      </c>
      <c r="E19" s="58"/>
      <c r="F19" s="55"/>
      <c r="G19" s="54"/>
      <c r="K19" s="55"/>
    </row>
    <row r="20" spans="1:16" ht="21.75" customHeight="1">
      <c r="A20" s="59" t="s">
        <v>302</v>
      </c>
      <c r="B20" s="60"/>
      <c r="C20" s="60"/>
      <c r="D20" s="60"/>
      <c r="E20" s="61"/>
      <c r="F20" s="62"/>
      <c r="G20" s="59"/>
      <c r="H20" s="60"/>
      <c r="I20" s="60"/>
      <c r="J20" s="60"/>
      <c r="K20" s="62"/>
    </row>
    <row r="21" spans="1:16" ht="21.75" customHeight="1">
      <c r="A21" s="54" t="s">
        <v>303</v>
      </c>
      <c r="E21" s="58"/>
      <c r="F21" s="55">
        <f>SUM(F9:F20)</f>
        <v>16967.5</v>
      </c>
      <c r="G21" s="54" t="s">
        <v>304</v>
      </c>
      <c r="K21" s="55">
        <f>SUM(K10:K20)</f>
        <v>600</v>
      </c>
      <c r="P21" s="50" t="s">
        <v>252</v>
      </c>
    </row>
    <row r="22" spans="1:16" ht="21.75" customHeight="1">
      <c r="A22" s="59"/>
      <c r="B22" s="60"/>
      <c r="C22" s="60"/>
      <c r="D22" s="60"/>
      <c r="E22" s="61"/>
      <c r="F22" s="63"/>
      <c r="G22" s="59" t="s">
        <v>305</v>
      </c>
      <c r="H22" s="60"/>
      <c r="I22" s="60"/>
      <c r="J22" s="60"/>
      <c r="K22" s="62">
        <f>+F21-K21</f>
        <v>16367.5</v>
      </c>
    </row>
    <row r="24" spans="1:16">
      <c r="K24" s="64"/>
    </row>
  </sheetData>
  <mergeCells count="3">
    <mergeCell ref="A8:F8"/>
    <mergeCell ref="G8:K8"/>
    <mergeCell ref="G5:H5"/>
  </mergeCells>
  <pageMargins left="0.7" right="0.7" top="0.75" bottom="0.75" header="0.3" footer="0.3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BEB8-C197-4A70-9E15-C3090784E3F3}">
  <dimension ref="A2:I38"/>
  <sheetViews>
    <sheetView workbookViewId="0">
      <selection activeCell="J18" sqref="J18"/>
    </sheetView>
  </sheetViews>
  <sheetFormatPr defaultColWidth="9.140625" defaultRowHeight="23.25"/>
  <cols>
    <col min="1" max="1" width="6.42578125" style="73" customWidth="1"/>
    <col min="2" max="2" width="8" style="73" customWidth="1"/>
    <col min="3" max="3" width="13.85546875" style="132" customWidth="1"/>
    <col min="4" max="4" width="60" style="132" customWidth="1"/>
    <col min="5" max="5" width="34.140625" style="132" customWidth="1"/>
    <col min="6" max="6" width="35.42578125" style="132" bestFit="1" customWidth="1"/>
    <col min="7" max="7" width="26.42578125" style="132" bestFit="1" customWidth="1"/>
    <col min="8" max="16384" width="9.140625" style="132"/>
  </cols>
  <sheetData>
    <row r="2" spans="1:9">
      <c r="A2" s="74" t="s">
        <v>1</v>
      </c>
      <c r="B2" s="74" t="s">
        <v>327</v>
      </c>
      <c r="C2" s="74" t="s">
        <v>328</v>
      </c>
      <c r="D2" s="74" t="s">
        <v>329</v>
      </c>
      <c r="E2" s="74" t="s">
        <v>416</v>
      </c>
      <c r="F2" s="74" t="s">
        <v>417</v>
      </c>
      <c r="G2" s="74" t="s">
        <v>418</v>
      </c>
    </row>
    <row r="3" spans="1:9">
      <c r="A3" s="74">
        <v>1</v>
      </c>
      <c r="B3" s="74">
        <v>1031</v>
      </c>
      <c r="C3" s="133" t="s">
        <v>239</v>
      </c>
      <c r="D3" s="133" t="s">
        <v>378</v>
      </c>
      <c r="E3" s="133" t="s">
        <v>419</v>
      </c>
      <c r="F3" s="133" t="s">
        <v>420</v>
      </c>
      <c r="G3" s="133" t="s">
        <v>421</v>
      </c>
    </row>
    <row r="4" spans="1:9">
      <c r="A4" s="74">
        <v>2</v>
      </c>
      <c r="B4" s="74">
        <v>9015</v>
      </c>
      <c r="C4" s="133" t="s">
        <v>180</v>
      </c>
      <c r="D4" s="133" t="s">
        <v>379</v>
      </c>
      <c r="E4" s="133" t="s">
        <v>422</v>
      </c>
      <c r="F4" s="133" t="s">
        <v>423</v>
      </c>
      <c r="G4" s="133" t="s">
        <v>424</v>
      </c>
    </row>
    <row r="5" spans="1:9">
      <c r="A5" s="74">
        <v>3</v>
      </c>
      <c r="B5" s="74">
        <v>6032</v>
      </c>
      <c r="C5" s="133" t="s">
        <v>241</v>
      </c>
      <c r="D5" s="133" t="s">
        <v>380</v>
      </c>
      <c r="E5" s="133" t="s">
        <v>425</v>
      </c>
      <c r="F5" s="133" t="s">
        <v>426</v>
      </c>
      <c r="G5" s="133" t="s">
        <v>427</v>
      </c>
    </row>
    <row r="6" spans="1:9">
      <c r="A6" s="74">
        <v>4</v>
      </c>
      <c r="B6" s="74">
        <v>7029</v>
      </c>
      <c r="C6" s="133" t="s">
        <v>235</v>
      </c>
      <c r="D6" s="133" t="s">
        <v>381</v>
      </c>
      <c r="E6" s="133" t="s">
        <v>496</v>
      </c>
      <c r="F6" s="133" t="s">
        <v>497</v>
      </c>
      <c r="G6" s="133" t="s">
        <v>498</v>
      </c>
    </row>
    <row r="7" spans="1:9">
      <c r="A7" s="74">
        <v>5</v>
      </c>
      <c r="B7" s="74">
        <v>8035</v>
      </c>
      <c r="C7" s="133" t="s">
        <v>247</v>
      </c>
      <c r="D7" s="133" t="s">
        <v>354</v>
      </c>
      <c r="E7" s="133" t="s">
        <v>428</v>
      </c>
      <c r="F7" s="133" t="s">
        <v>429</v>
      </c>
      <c r="G7" s="133" t="s">
        <v>430</v>
      </c>
    </row>
    <row r="8" spans="1:9">
      <c r="A8" s="74">
        <v>6</v>
      </c>
      <c r="B8" s="74">
        <v>5026</v>
      </c>
      <c r="C8" s="133" t="s">
        <v>228</v>
      </c>
      <c r="D8" s="133" t="s">
        <v>358</v>
      </c>
      <c r="E8" s="133" t="s">
        <v>431</v>
      </c>
      <c r="F8" s="133" t="s">
        <v>432</v>
      </c>
      <c r="G8" s="133" t="s">
        <v>433</v>
      </c>
    </row>
    <row r="9" spans="1:9">
      <c r="A9" s="74">
        <v>7</v>
      </c>
      <c r="B9" s="74">
        <v>5027</v>
      </c>
      <c r="C9" s="133" t="s">
        <v>231</v>
      </c>
      <c r="D9" s="133" t="s">
        <v>356</v>
      </c>
      <c r="E9" s="133" t="s">
        <v>434</v>
      </c>
      <c r="F9" s="133" t="s">
        <v>435</v>
      </c>
      <c r="G9" s="134" t="s">
        <v>436</v>
      </c>
    </row>
    <row r="10" spans="1:9">
      <c r="A10" s="74">
        <v>8</v>
      </c>
      <c r="B10" s="74">
        <v>5028</v>
      </c>
      <c r="C10" s="133" t="s">
        <v>233</v>
      </c>
      <c r="D10" s="133" t="s">
        <v>359</v>
      </c>
      <c r="E10" s="133" t="s">
        <v>437</v>
      </c>
      <c r="F10" s="133" t="s">
        <v>438</v>
      </c>
      <c r="G10" s="133" t="s">
        <v>439</v>
      </c>
    </row>
    <row r="11" spans="1:9">
      <c r="A11" s="74">
        <v>9</v>
      </c>
      <c r="B11" s="74">
        <v>3001</v>
      </c>
      <c r="C11" s="133" t="s">
        <v>21</v>
      </c>
      <c r="D11" s="133" t="s">
        <v>317</v>
      </c>
      <c r="E11" s="133" t="s">
        <v>440</v>
      </c>
      <c r="F11" s="133" t="s">
        <v>441</v>
      </c>
      <c r="G11" s="133" t="s">
        <v>442</v>
      </c>
    </row>
    <row r="12" spans="1:9">
      <c r="A12" s="74">
        <v>10</v>
      </c>
      <c r="B12" s="74">
        <v>3125</v>
      </c>
      <c r="C12" s="133" t="s">
        <v>226</v>
      </c>
      <c r="D12" s="133" t="s">
        <v>382</v>
      </c>
      <c r="E12" s="133" t="s">
        <v>443</v>
      </c>
      <c r="F12" s="133" t="s">
        <v>444</v>
      </c>
      <c r="G12" s="133" t="s">
        <v>445</v>
      </c>
      <c r="I12" s="132">
        <f>70*25</f>
        <v>1750</v>
      </c>
    </row>
    <row r="13" spans="1:9">
      <c r="A13" s="74">
        <v>11</v>
      </c>
      <c r="B13" s="74">
        <v>2002</v>
      </c>
      <c r="C13" s="133" t="s">
        <v>46</v>
      </c>
      <c r="D13" s="133" t="s">
        <v>383</v>
      </c>
      <c r="E13" s="133" t="s">
        <v>446</v>
      </c>
      <c r="F13" s="133" t="s">
        <v>447</v>
      </c>
      <c r="G13" s="133" t="s">
        <v>448</v>
      </c>
    </row>
    <row r="14" spans="1:9">
      <c r="A14" s="74">
        <v>12</v>
      </c>
      <c r="B14" s="74">
        <v>2003</v>
      </c>
      <c r="C14" s="133" t="s">
        <v>57</v>
      </c>
      <c r="D14" s="133" t="s">
        <v>384</v>
      </c>
      <c r="E14" s="133" t="s">
        <v>449</v>
      </c>
      <c r="F14" s="133" t="s">
        <v>450</v>
      </c>
      <c r="G14" s="133"/>
    </row>
    <row r="15" spans="1:9">
      <c r="A15" s="74">
        <v>13</v>
      </c>
      <c r="B15" s="74">
        <v>2004</v>
      </c>
      <c r="C15" s="133" t="s">
        <v>66</v>
      </c>
      <c r="D15" s="133" t="s">
        <v>385</v>
      </c>
      <c r="E15" s="133" t="s">
        <v>451</v>
      </c>
      <c r="F15" s="133" t="s">
        <v>452</v>
      </c>
      <c r="G15" s="133" t="s">
        <v>453</v>
      </c>
    </row>
    <row r="16" spans="1:9">
      <c r="A16" s="74">
        <v>14</v>
      </c>
      <c r="B16" s="74">
        <v>2034</v>
      </c>
      <c r="C16" s="133" t="s">
        <v>245</v>
      </c>
      <c r="D16" s="133" t="s">
        <v>386</v>
      </c>
      <c r="E16" s="133" t="s">
        <v>454</v>
      </c>
      <c r="F16" s="133"/>
      <c r="G16" s="133"/>
    </row>
    <row r="17" spans="1:7">
      <c r="A17" s="74">
        <v>15</v>
      </c>
      <c r="B17" s="74">
        <v>2036</v>
      </c>
      <c r="C17" s="133" t="s">
        <v>249</v>
      </c>
      <c r="D17" s="133" t="s">
        <v>387</v>
      </c>
      <c r="E17" s="133" t="s">
        <v>455</v>
      </c>
      <c r="F17" s="133" t="s">
        <v>456</v>
      </c>
      <c r="G17" s="133" t="s">
        <v>457</v>
      </c>
    </row>
    <row r="18" spans="1:7">
      <c r="A18" s="74">
        <v>16</v>
      </c>
      <c r="B18" s="74">
        <v>1005</v>
      </c>
      <c r="C18" s="133" t="s">
        <v>73</v>
      </c>
      <c r="D18" s="133" t="s">
        <v>319</v>
      </c>
      <c r="E18" s="133" t="s">
        <v>458</v>
      </c>
      <c r="F18" s="133" t="s">
        <v>459</v>
      </c>
      <c r="G18" s="133" t="s">
        <v>460</v>
      </c>
    </row>
    <row r="19" spans="1:7">
      <c r="A19" s="74">
        <v>17</v>
      </c>
      <c r="B19" s="74">
        <v>1006</v>
      </c>
      <c r="C19" s="133" t="s">
        <v>77</v>
      </c>
      <c r="D19" s="133" t="s">
        <v>318</v>
      </c>
      <c r="E19" s="133" t="s">
        <v>431</v>
      </c>
      <c r="F19" s="133" t="s">
        <v>461</v>
      </c>
      <c r="G19" s="133"/>
    </row>
    <row r="20" spans="1:7">
      <c r="A20" s="74">
        <v>18</v>
      </c>
      <c r="B20" s="74">
        <v>1007</v>
      </c>
      <c r="C20" s="133" t="s">
        <v>91</v>
      </c>
      <c r="D20" s="133" t="s">
        <v>320</v>
      </c>
      <c r="E20" s="133" t="s">
        <v>462</v>
      </c>
      <c r="F20" s="133" t="s">
        <v>463</v>
      </c>
      <c r="G20" s="133" t="s">
        <v>464</v>
      </c>
    </row>
    <row r="21" spans="1:7">
      <c r="A21" s="74">
        <v>19</v>
      </c>
      <c r="B21" s="74">
        <v>1008</v>
      </c>
      <c r="C21" s="133" t="s">
        <v>97</v>
      </c>
      <c r="D21" s="133" t="s">
        <v>321</v>
      </c>
      <c r="E21" s="133" t="s">
        <v>465</v>
      </c>
      <c r="F21" s="133" t="s">
        <v>466</v>
      </c>
      <c r="G21" s="133"/>
    </row>
    <row r="22" spans="1:7">
      <c r="A22" s="74">
        <v>20</v>
      </c>
      <c r="B22" s="74">
        <v>1009</v>
      </c>
      <c r="C22" s="133" t="s">
        <v>101</v>
      </c>
      <c r="D22" s="133" t="s">
        <v>322</v>
      </c>
      <c r="E22" s="133" t="s">
        <v>451</v>
      </c>
      <c r="F22" s="133"/>
      <c r="G22" s="133" t="s">
        <v>467</v>
      </c>
    </row>
    <row r="23" spans="1:7">
      <c r="A23" s="74">
        <v>21</v>
      </c>
      <c r="B23" s="74">
        <v>1010</v>
      </c>
      <c r="C23" s="133" t="s">
        <v>105</v>
      </c>
      <c r="D23" s="133" t="s">
        <v>324</v>
      </c>
      <c r="E23" s="133" t="s">
        <v>451</v>
      </c>
      <c r="F23" s="133"/>
      <c r="G23" s="133" t="s">
        <v>467</v>
      </c>
    </row>
    <row r="24" spans="1:7">
      <c r="A24" s="74">
        <v>22</v>
      </c>
      <c r="B24" s="74">
        <v>1011</v>
      </c>
      <c r="C24" s="133" t="s">
        <v>126</v>
      </c>
      <c r="D24" s="133" t="s">
        <v>323</v>
      </c>
      <c r="E24" s="133" t="s">
        <v>468</v>
      </c>
      <c r="F24" s="133" t="s">
        <v>469</v>
      </c>
      <c r="G24" s="133" t="s">
        <v>470</v>
      </c>
    </row>
    <row r="25" spans="1:7">
      <c r="A25" s="74">
        <v>23</v>
      </c>
      <c r="B25" s="74">
        <v>1014</v>
      </c>
      <c r="C25" s="133" t="s">
        <v>180</v>
      </c>
      <c r="D25" s="133" t="s">
        <v>379</v>
      </c>
      <c r="E25" s="133" t="s">
        <v>422</v>
      </c>
      <c r="F25" s="133" t="s">
        <v>423</v>
      </c>
      <c r="G25" s="133" t="s">
        <v>424</v>
      </c>
    </row>
    <row r="26" spans="1:7">
      <c r="A26" s="74">
        <v>24</v>
      </c>
      <c r="B26" s="74">
        <v>1016</v>
      </c>
      <c r="C26" s="133" t="s">
        <v>180</v>
      </c>
      <c r="D26" s="133" t="s">
        <v>379</v>
      </c>
      <c r="E26" s="133" t="s">
        <v>422</v>
      </c>
      <c r="F26" s="133" t="s">
        <v>423</v>
      </c>
      <c r="G26" s="133" t="s">
        <v>424</v>
      </c>
    </row>
    <row r="27" spans="1:7">
      <c r="A27" s="74">
        <v>25</v>
      </c>
      <c r="B27" s="74">
        <v>1017</v>
      </c>
      <c r="C27" s="133" t="s">
        <v>187</v>
      </c>
      <c r="D27" s="133" t="s">
        <v>388</v>
      </c>
      <c r="E27" s="133" t="s">
        <v>471</v>
      </c>
      <c r="F27" s="133" t="s">
        <v>472</v>
      </c>
      <c r="G27" s="133" t="s">
        <v>473</v>
      </c>
    </row>
    <row r="28" spans="1:7">
      <c r="A28" s="74">
        <v>26</v>
      </c>
      <c r="B28" s="74">
        <v>1018</v>
      </c>
      <c r="C28" s="133" t="s">
        <v>194</v>
      </c>
      <c r="D28" s="133" t="s">
        <v>389</v>
      </c>
      <c r="E28" s="133" t="s">
        <v>474</v>
      </c>
      <c r="F28" s="133" t="s">
        <v>475</v>
      </c>
      <c r="G28" s="133" t="s">
        <v>476</v>
      </c>
    </row>
    <row r="29" spans="1:7">
      <c r="A29" s="74">
        <v>27</v>
      </c>
      <c r="B29" s="74">
        <v>1020</v>
      </c>
      <c r="C29" s="133" t="s">
        <v>203</v>
      </c>
      <c r="D29" s="133" t="s">
        <v>390</v>
      </c>
      <c r="E29" s="133" t="s">
        <v>477</v>
      </c>
      <c r="F29" s="133" t="s">
        <v>478</v>
      </c>
      <c r="G29" s="133" t="s">
        <v>479</v>
      </c>
    </row>
    <row r="30" spans="1:7">
      <c r="A30" s="74">
        <v>28</v>
      </c>
      <c r="B30" s="74">
        <v>1021</v>
      </c>
      <c r="C30" s="133" t="s">
        <v>208</v>
      </c>
      <c r="D30" s="133" t="s">
        <v>390</v>
      </c>
      <c r="E30" s="133" t="s">
        <v>477</v>
      </c>
      <c r="F30" s="133" t="s">
        <v>478</v>
      </c>
      <c r="G30" s="133" t="s">
        <v>479</v>
      </c>
    </row>
    <row r="31" spans="1:7">
      <c r="A31" s="74">
        <v>29</v>
      </c>
      <c r="B31" s="74">
        <v>1023</v>
      </c>
      <c r="C31" s="133" t="s">
        <v>220</v>
      </c>
      <c r="D31" s="133" t="s">
        <v>391</v>
      </c>
      <c r="E31" s="133" t="s">
        <v>480</v>
      </c>
      <c r="F31" s="133" t="s">
        <v>481</v>
      </c>
      <c r="G31" s="133" t="s">
        <v>482</v>
      </c>
    </row>
    <row r="32" spans="1:7">
      <c r="A32" s="74">
        <v>30</v>
      </c>
      <c r="B32" s="74">
        <v>1024</v>
      </c>
      <c r="C32" s="133" t="s">
        <v>223</v>
      </c>
      <c r="D32" s="133" t="s">
        <v>392</v>
      </c>
      <c r="E32" s="133" t="s">
        <v>454</v>
      </c>
      <c r="F32" s="133" t="s">
        <v>483</v>
      </c>
      <c r="G32" s="133" t="s">
        <v>484</v>
      </c>
    </row>
    <row r="33" spans="1:7">
      <c r="A33" s="74">
        <v>31</v>
      </c>
      <c r="B33" s="74">
        <v>1033</v>
      </c>
      <c r="C33" s="133" t="s">
        <v>243</v>
      </c>
      <c r="D33" s="133" t="s">
        <v>386</v>
      </c>
      <c r="E33" s="133" t="s">
        <v>485</v>
      </c>
      <c r="F33" s="133" t="s">
        <v>486</v>
      </c>
      <c r="G33" s="133" t="s">
        <v>487</v>
      </c>
    </row>
    <row r="34" spans="1:7">
      <c r="A34" s="74">
        <v>32</v>
      </c>
      <c r="B34" s="74">
        <v>1037</v>
      </c>
      <c r="C34" s="133" t="s">
        <v>251</v>
      </c>
      <c r="D34" s="133" t="s">
        <v>393</v>
      </c>
      <c r="E34" s="133" t="s">
        <v>488</v>
      </c>
      <c r="F34" s="133" t="s">
        <v>489</v>
      </c>
      <c r="G34" s="133" t="s">
        <v>490</v>
      </c>
    </row>
    <row r="35" spans="1:7">
      <c r="A35" s="74">
        <v>34</v>
      </c>
      <c r="B35" s="74">
        <v>4012</v>
      </c>
      <c r="C35" s="133" t="s">
        <v>163</v>
      </c>
      <c r="D35" s="133" t="s">
        <v>325</v>
      </c>
      <c r="E35" s="133" t="s">
        <v>491</v>
      </c>
      <c r="F35" s="133" t="s">
        <v>492</v>
      </c>
      <c r="G35" s="133" t="s">
        <v>493</v>
      </c>
    </row>
    <row r="36" spans="1:7">
      <c r="A36" s="74">
        <v>35</v>
      </c>
      <c r="B36" s="74">
        <v>4013</v>
      </c>
      <c r="C36" s="133" t="s">
        <v>171</v>
      </c>
      <c r="D36" s="133" t="s">
        <v>326</v>
      </c>
      <c r="E36" s="133" t="s">
        <v>491</v>
      </c>
      <c r="F36" s="133" t="s">
        <v>492</v>
      </c>
      <c r="G36" s="133" t="s">
        <v>493</v>
      </c>
    </row>
    <row r="37" spans="1:7">
      <c r="A37" s="74">
        <v>36</v>
      </c>
      <c r="B37" s="74">
        <v>4022</v>
      </c>
      <c r="C37" s="133" t="s">
        <v>210</v>
      </c>
      <c r="D37" s="133" t="s">
        <v>351</v>
      </c>
      <c r="E37" s="133" t="s">
        <v>494</v>
      </c>
      <c r="F37" s="133" t="s">
        <v>495</v>
      </c>
      <c r="G37" s="133"/>
    </row>
    <row r="38" spans="1:7">
      <c r="A38" s="74">
        <v>37</v>
      </c>
      <c r="B38" s="74">
        <v>4030</v>
      </c>
      <c r="C38" s="133" t="s">
        <v>237</v>
      </c>
      <c r="D38" s="133" t="s">
        <v>378</v>
      </c>
      <c r="E38" s="133" t="s">
        <v>419</v>
      </c>
      <c r="F38" s="133" t="s">
        <v>420</v>
      </c>
      <c r="G38" s="133" t="s">
        <v>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B687-D3C9-4BF3-8C3A-B0F7CBAE354C}">
  <dimension ref="A1:AD38"/>
  <sheetViews>
    <sheetView showGridLines="0" zoomScaleNormal="100" workbookViewId="0">
      <selection activeCell="AI19" sqref="AI19"/>
    </sheetView>
  </sheetViews>
  <sheetFormatPr defaultColWidth="9" defaultRowHeight="21"/>
  <cols>
    <col min="1" max="31" width="3.5703125" style="28" customWidth="1"/>
    <col min="32" max="16384" width="9" style="28"/>
  </cols>
  <sheetData>
    <row r="1" spans="1:30" ht="14.25" customHeight="1">
      <c r="L1" s="112"/>
    </row>
    <row r="2" spans="1:30" ht="29.25">
      <c r="L2" s="112" t="s">
        <v>374</v>
      </c>
    </row>
    <row r="4" spans="1:30">
      <c r="B4" s="111" t="s">
        <v>375</v>
      </c>
      <c r="C4" s="33"/>
      <c r="D4" s="33"/>
      <c r="E4" s="33"/>
      <c r="F4" s="33"/>
      <c r="G4" s="33"/>
      <c r="H4" s="33"/>
      <c r="I4" s="33"/>
      <c r="W4" s="28" t="s">
        <v>373</v>
      </c>
      <c r="Z4" s="33"/>
      <c r="AA4" s="33"/>
      <c r="AB4" s="33"/>
      <c r="AC4" s="33"/>
    </row>
    <row r="6" spans="1:30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/>
    </row>
    <row r="7" spans="1:30">
      <c r="A7" s="32"/>
      <c r="B7" s="28" t="s">
        <v>254</v>
      </c>
      <c r="C7" s="33"/>
      <c r="D7" s="33"/>
      <c r="E7" s="33"/>
      <c r="F7" s="33"/>
      <c r="G7" s="33"/>
      <c r="H7" s="33"/>
      <c r="I7" s="33"/>
      <c r="J7" s="33"/>
      <c r="K7" s="33"/>
      <c r="L7" s="28" t="s">
        <v>255</v>
      </c>
      <c r="N7" s="33"/>
      <c r="O7" s="33"/>
      <c r="P7" s="33"/>
      <c r="Q7" s="33"/>
      <c r="R7" s="33"/>
      <c r="S7" s="33"/>
      <c r="T7" s="33"/>
      <c r="U7" s="28" t="s">
        <v>9</v>
      </c>
      <c r="V7" s="33"/>
      <c r="W7" s="33"/>
      <c r="X7" s="28" t="s">
        <v>6</v>
      </c>
      <c r="Y7" s="28" t="s">
        <v>10</v>
      </c>
      <c r="Z7" s="33"/>
      <c r="AA7" s="33"/>
      <c r="AB7" s="33"/>
      <c r="AC7" s="33"/>
      <c r="AD7" s="34"/>
    </row>
    <row r="8" spans="1:30">
      <c r="A8" s="32"/>
      <c r="B8" s="28" t="s">
        <v>256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28" t="s">
        <v>4</v>
      </c>
      <c r="R8" s="33"/>
      <c r="S8" s="33"/>
      <c r="T8" s="33"/>
      <c r="U8" s="33"/>
      <c r="V8" s="33"/>
      <c r="W8" s="33"/>
      <c r="X8" s="33"/>
      <c r="Y8" s="33"/>
      <c r="AD8" s="34"/>
    </row>
    <row r="9" spans="1:30">
      <c r="A9" s="32"/>
      <c r="B9" s="28" t="s">
        <v>258</v>
      </c>
      <c r="E9" s="35"/>
      <c r="F9" s="35"/>
      <c r="G9" s="35"/>
      <c r="H9" s="35"/>
      <c r="I9" s="35"/>
      <c r="J9" s="35"/>
      <c r="K9" s="35"/>
      <c r="L9" s="28" t="s">
        <v>259</v>
      </c>
      <c r="N9" s="33"/>
      <c r="O9" s="33"/>
      <c r="P9" s="33"/>
      <c r="Q9" s="33"/>
      <c r="R9" s="33"/>
      <c r="S9" s="28" t="s">
        <v>11</v>
      </c>
      <c r="U9" s="35"/>
      <c r="V9" s="35"/>
      <c r="W9" s="35"/>
      <c r="X9" s="35"/>
      <c r="Y9" s="35"/>
      <c r="AD9" s="34"/>
    </row>
    <row r="10" spans="1:30">
      <c r="A10" s="32"/>
      <c r="B10" s="28" t="s">
        <v>260</v>
      </c>
      <c r="F10" s="33"/>
      <c r="G10" s="33"/>
      <c r="H10" s="33"/>
      <c r="I10" s="33"/>
      <c r="J10" s="33"/>
      <c r="K10" s="33"/>
      <c r="L10" s="33"/>
      <c r="M10" s="33"/>
      <c r="N10" s="28" t="s">
        <v>261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AD10" s="34"/>
    </row>
    <row r="11" spans="1:30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28" t="s">
        <v>257</v>
      </c>
      <c r="T11" s="35"/>
      <c r="U11" s="35"/>
      <c r="V11" s="35"/>
      <c r="W11" s="35"/>
      <c r="X11" s="35"/>
      <c r="Y11" s="35"/>
      <c r="AD11" s="34"/>
    </row>
    <row r="12" spans="1:30">
      <c r="A12" s="32"/>
      <c r="B12" s="28" t="s">
        <v>263</v>
      </c>
      <c r="K12" s="35"/>
      <c r="L12" s="35"/>
      <c r="M12" s="35"/>
      <c r="N12" s="35"/>
      <c r="O12" s="35"/>
      <c r="P12" s="35"/>
      <c r="Q12" s="35"/>
      <c r="R12" s="28" t="s">
        <v>264</v>
      </c>
      <c r="T12" s="35"/>
      <c r="U12" s="35"/>
      <c r="V12" s="35"/>
      <c r="W12" s="35"/>
      <c r="X12" s="35"/>
      <c r="Y12" s="35"/>
      <c r="AD12" s="34"/>
    </row>
    <row r="13" spans="1:30">
      <c r="A13" s="32"/>
      <c r="B13" s="28" t="s">
        <v>265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4"/>
    </row>
    <row r="14" spans="1:30">
      <c r="A14" s="32"/>
      <c r="B14" s="28" t="s">
        <v>266</v>
      </c>
      <c r="G14" s="36" t="s">
        <v>262</v>
      </c>
      <c r="H14" s="28" t="s">
        <v>267</v>
      </c>
      <c r="N14" s="36" t="s">
        <v>262</v>
      </c>
      <c r="O14" s="28" t="s">
        <v>268</v>
      </c>
      <c r="T14" s="36" t="s">
        <v>262</v>
      </c>
      <c r="U14" s="28" t="s">
        <v>269</v>
      </c>
      <c r="V14" s="35"/>
      <c r="W14" s="35"/>
      <c r="X14" s="35"/>
      <c r="Y14" s="35"/>
      <c r="Z14" s="35"/>
      <c r="AA14" s="35"/>
      <c r="AB14" s="35"/>
      <c r="AC14" s="35"/>
      <c r="AD14" s="34"/>
    </row>
    <row r="15" spans="1:30">
      <c r="A15" s="32"/>
      <c r="B15" s="28" t="s">
        <v>270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28" t="s">
        <v>255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4"/>
    </row>
    <row r="16" spans="1:30">
      <c r="A16" s="32"/>
      <c r="B16" s="28" t="s">
        <v>271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28" t="s">
        <v>257</v>
      </c>
      <c r="Y16" s="35"/>
      <c r="Z16" s="35"/>
      <c r="AA16" s="35"/>
      <c r="AB16" s="35"/>
      <c r="AC16" s="35"/>
      <c r="AD16" s="34"/>
    </row>
    <row r="17" spans="1:30">
      <c r="A17" s="32"/>
      <c r="B17" s="28" t="s">
        <v>312</v>
      </c>
      <c r="AD17" s="34"/>
    </row>
    <row r="18" spans="1:30">
      <c r="A18" s="32"/>
      <c r="B18" s="28" t="s">
        <v>273</v>
      </c>
      <c r="AD18" s="34"/>
    </row>
    <row r="19" spans="1:30" ht="21.75" thickBot="1">
      <c r="A19" s="32"/>
      <c r="S19" s="40" t="s">
        <v>272</v>
      </c>
      <c r="T19" s="33"/>
      <c r="U19" s="33"/>
      <c r="V19" s="33"/>
      <c r="W19" s="33"/>
      <c r="X19" s="33"/>
      <c r="Y19" s="33"/>
      <c r="Z19" s="33"/>
      <c r="AD19" s="34"/>
    </row>
    <row r="20" spans="1:30">
      <c r="A20" s="32"/>
      <c r="C20" s="41"/>
      <c r="D20" s="42"/>
      <c r="E20" s="42"/>
      <c r="F20" s="42" t="s">
        <v>315</v>
      </c>
      <c r="G20" s="42"/>
      <c r="H20" s="42"/>
      <c r="I20" s="42"/>
      <c r="J20" s="42"/>
      <c r="K20" s="42"/>
      <c r="L20" s="42"/>
      <c r="M20" s="42"/>
      <c r="N20" s="43"/>
      <c r="O20" s="44"/>
      <c r="S20" s="40"/>
      <c r="T20" s="266" t="s">
        <v>274</v>
      </c>
      <c r="U20" s="266"/>
      <c r="V20" s="266"/>
      <c r="W20" s="266"/>
      <c r="X20" s="266"/>
      <c r="Y20" s="266"/>
      <c r="Z20" s="266"/>
      <c r="AD20" s="34"/>
    </row>
    <row r="21" spans="1:30">
      <c r="A21" s="32"/>
      <c r="C21" s="45"/>
      <c r="D21" s="36" t="s">
        <v>262</v>
      </c>
      <c r="E21" s="28" t="s">
        <v>275</v>
      </c>
      <c r="N21" s="46"/>
      <c r="O21" s="44"/>
      <c r="S21" s="40"/>
      <c r="T21" s="265" t="s">
        <v>314</v>
      </c>
      <c r="U21" s="265"/>
      <c r="V21" s="265"/>
      <c r="W21" s="265"/>
      <c r="X21" s="265"/>
      <c r="Y21" s="265"/>
      <c r="Z21" s="265"/>
      <c r="AD21" s="34"/>
    </row>
    <row r="22" spans="1:30">
      <c r="A22" s="32"/>
      <c r="C22" s="45"/>
      <c r="D22" s="36" t="s">
        <v>262</v>
      </c>
      <c r="E22" s="28" t="s">
        <v>276</v>
      </c>
      <c r="N22" s="46"/>
      <c r="O22" s="44"/>
      <c r="S22" s="40"/>
      <c r="AD22" s="34"/>
    </row>
    <row r="23" spans="1:30">
      <c r="A23" s="32"/>
      <c r="C23" s="45"/>
      <c r="D23" s="36" t="s">
        <v>262</v>
      </c>
      <c r="E23" s="28" t="s">
        <v>316</v>
      </c>
      <c r="N23" s="46"/>
      <c r="O23" s="44"/>
      <c r="S23" s="40" t="s">
        <v>272</v>
      </c>
      <c r="T23" s="33"/>
      <c r="U23" s="33"/>
      <c r="V23" s="33"/>
      <c r="W23" s="33"/>
      <c r="X23" s="33"/>
      <c r="Y23" s="33"/>
      <c r="Z23" s="33"/>
      <c r="AD23" s="34"/>
    </row>
    <row r="24" spans="1:30">
      <c r="A24" s="32"/>
      <c r="C24" s="45"/>
      <c r="D24" s="36" t="s">
        <v>262</v>
      </c>
      <c r="E24" s="28" t="s">
        <v>269</v>
      </c>
      <c r="F24" s="33"/>
      <c r="G24" s="33"/>
      <c r="H24" s="33"/>
      <c r="I24" s="33"/>
      <c r="J24" s="33"/>
      <c r="N24" s="46"/>
      <c r="O24" s="44"/>
      <c r="T24" s="266" t="s">
        <v>274</v>
      </c>
      <c r="U24" s="266"/>
      <c r="V24" s="266"/>
      <c r="W24" s="266"/>
      <c r="X24" s="266"/>
      <c r="Y24" s="266"/>
      <c r="Z24" s="266"/>
      <c r="AD24" s="34"/>
    </row>
    <row r="25" spans="1:30" ht="21.75" thickBot="1">
      <c r="A25" s="32"/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9"/>
      <c r="O25" s="44"/>
      <c r="T25" s="265" t="s">
        <v>313</v>
      </c>
      <c r="U25" s="265"/>
      <c r="V25" s="265"/>
      <c r="W25" s="265"/>
      <c r="X25" s="265"/>
      <c r="Y25" s="265"/>
      <c r="Z25" s="265"/>
      <c r="AD25" s="34"/>
    </row>
    <row r="26" spans="1:30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9"/>
    </row>
    <row r="31" spans="1:30">
      <c r="J31" s="66"/>
      <c r="W31" s="36"/>
      <c r="Z31" s="36"/>
    </row>
    <row r="33" spans="1:30">
      <c r="F33" s="36"/>
      <c r="M33" s="36"/>
    </row>
    <row r="38" spans="1:30">
      <c r="A38" s="265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</row>
  </sheetData>
  <mergeCells count="5">
    <mergeCell ref="A38:AD38"/>
    <mergeCell ref="T24:Z24"/>
    <mergeCell ref="T25:Z25"/>
    <mergeCell ref="T20:Z20"/>
    <mergeCell ref="T21:Z21"/>
  </mergeCells>
  <printOptions horizontalCentered="1"/>
  <pageMargins left="0.31496062992125984" right="0.31496062992125984" top="0.35433070866141736" bottom="0.15748031496062992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ประวัติพนักงาน J2K</vt:lpstr>
      <vt:lpstr>Staff_info</vt:lpstr>
      <vt:lpstr>CODE</vt:lpstr>
      <vt:lpstr>เวลา -เข้าออกงาน</vt:lpstr>
      <vt:lpstr>เงินเดือน </vt:lpstr>
      <vt:lpstr>Attenden ()</vt:lpstr>
      <vt:lpstr>Slip </vt:lpstr>
      <vt:lpstr>Customer</vt:lpstr>
      <vt:lpstr>เอกสารส่งตัว</vt:lpstr>
      <vt:lpstr>'Attenden ()'!Print_Area</vt:lpstr>
      <vt:lpstr>'Slip '!Print_Area</vt:lpstr>
      <vt:lpstr>เอกสารส่งตัว!Print_Area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จัตุพล กันทะมูล</cp:lastModifiedBy>
  <cp:lastPrinted>2026-09-23T09:31:22Z</cp:lastPrinted>
  <dcterms:created xsi:type="dcterms:W3CDTF">2026-09-10T02:36:42Z</dcterms:created>
  <dcterms:modified xsi:type="dcterms:W3CDTF">2026-09-24T02:00:18Z</dcterms:modified>
</cp:coreProperties>
</file>